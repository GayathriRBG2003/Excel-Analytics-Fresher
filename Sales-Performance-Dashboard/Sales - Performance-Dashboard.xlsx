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ganga\Desktop\"/>
    </mc:Choice>
  </mc:AlternateContent>
  <xr:revisionPtr revIDLastSave="0" documentId="13_ncr:1_{AC9FD55F-E07D-4F90-8752-3CDA62C97E76}" xr6:coauthVersionLast="47" xr6:coauthVersionMax="47" xr10:uidLastSave="{00000000-0000-0000-0000-000000000000}"/>
  <bookViews>
    <workbookView xWindow="-108" yWindow="-108" windowWidth="23256" windowHeight="12456" xr2:uid="{C0893FBD-34B3-420E-B0D6-EC330180DDEA}"/>
  </bookViews>
  <sheets>
    <sheet name="DashBoard" sheetId="9" r:id="rId1"/>
    <sheet name="Charts" sheetId="8" r:id="rId2"/>
    <sheet name="Pivot Tables" sheetId="4" r:id="rId3"/>
    <sheet name="Slicers" sheetId="11" r:id="rId4"/>
    <sheet name="SalesData" sheetId="3" r:id="rId5"/>
  </sheets>
  <definedNames>
    <definedName name="_xlnm.Print_Area" localSheetId="0">DashBoard!$A$1:$X$48</definedName>
    <definedName name="Slicer_Product">#N/A</definedName>
    <definedName name="Slicer_Region">#N/A</definedName>
    <definedName name="Slicer_Sales_Pers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3" l="1"/>
  <c r="K5" i="3"/>
  <c r="I37" i="3"/>
  <c r="I38" i="3"/>
  <c r="G51" i="3"/>
  <c r="F51" i="3"/>
  <c r="H51" i="3" s="1"/>
  <c r="I51" i="3" s="1"/>
  <c r="G50" i="3"/>
  <c r="F50" i="3"/>
  <c r="H50" i="3" s="1"/>
  <c r="I50" i="3" s="1"/>
  <c r="G49" i="3"/>
  <c r="F49" i="3"/>
  <c r="H49" i="3" s="1"/>
  <c r="I49" i="3" s="1"/>
  <c r="G48" i="3"/>
  <c r="F48" i="3"/>
  <c r="H48" i="3" s="1"/>
  <c r="I48" i="3" s="1"/>
  <c r="G47" i="3"/>
  <c r="F47" i="3"/>
  <c r="H47" i="3" s="1"/>
  <c r="I47" i="3" s="1"/>
  <c r="G46" i="3"/>
  <c r="F46" i="3"/>
  <c r="H46" i="3" s="1"/>
  <c r="I46" i="3" s="1"/>
  <c r="G45" i="3"/>
  <c r="F45" i="3"/>
  <c r="H45" i="3" s="1"/>
  <c r="I45" i="3" s="1"/>
  <c r="G44" i="3"/>
  <c r="F44" i="3"/>
  <c r="H44" i="3" s="1"/>
  <c r="I44" i="3" s="1"/>
  <c r="G43" i="3"/>
  <c r="F43" i="3"/>
  <c r="H43" i="3" s="1"/>
  <c r="I43" i="3" s="1"/>
  <c r="G42" i="3"/>
  <c r="F42" i="3"/>
  <c r="H42" i="3" s="1"/>
  <c r="I42" i="3" s="1"/>
  <c r="G41" i="3"/>
  <c r="F41" i="3"/>
  <c r="H41" i="3" s="1"/>
  <c r="I41" i="3" s="1"/>
  <c r="G40" i="3"/>
  <c r="F40" i="3"/>
  <c r="H40" i="3" s="1"/>
  <c r="I40" i="3" s="1"/>
  <c r="G39" i="3"/>
  <c r="F39" i="3"/>
  <c r="H39" i="3" s="1"/>
  <c r="I39" i="3" s="1"/>
  <c r="G38" i="3"/>
  <c r="F38" i="3"/>
  <c r="H38" i="3" s="1"/>
  <c r="G37" i="3"/>
  <c r="F37" i="3"/>
  <c r="H37" i="3" s="1"/>
  <c r="G36" i="3"/>
  <c r="F36" i="3"/>
  <c r="H36" i="3" s="1"/>
  <c r="I36" i="3" s="1"/>
  <c r="G35" i="3"/>
  <c r="F35" i="3"/>
  <c r="H35" i="3" s="1"/>
  <c r="I35" i="3" s="1"/>
  <c r="G34" i="3"/>
  <c r="F34" i="3"/>
  <c r="H34" i="3" s="1"/>
  <c r="I34" i="3" s="1"/>
  <c r="G33" i="3"/>
  <c r="F33" i="3"/>
  <c r="H33" i="3" s="1"/>
  <c r="I33" i="3" s="1"/>
  <c r="G32" i="3"/>
  <c r="F32" i="3"/>
  <c r="H32" i="3" s="1"/>
  <c r="I32" i="3" s="1"/>
  <c r="G31" i="3"/>
  <c r="F31" i="3"/>
  <c r="H31" i="3" s="1"/>
  <c r="I31" i="3" s="1"/>
  <c r="G30" i="3"/>
  <c r="F30" i="3"/>
  <c r="H30" i="3" s="1"/>
  <c r="I30" i="3" s="1"/>
  <c r="G29" i="3"/>
  <c r="F29" i="3"/>
  <c r="H29" i="3" s="1"/>
  <c r="I29" i="3" s="1"/>
  <c r="G28" i="3"/>
  <c r="F28" i="3"/>
  <c r="H28" i="3" s="1"/>
  <c r="I28" i="3" s="1"/>
  <c r="G27" i="3"/>
  <c r="F27" i="3"/>
  <c r="H27" i="3" s="1"/>
  <c r="I27" i="3" s="1"/>
  <c r="G26" i="3"/>
  <c r="F26" i="3"/>
  <c r="H26" i="3" s="1"/>
  <c r="I26" i="3" s="1"/>
  <c r="G25" i="3"/>
  <c r="F25" i="3"/>
  <c r="H25" i="3" s="1"/>
  <c r="I25" i="3" s="1"/>
  <c r="G24" i="3"/>
  <c r="F24" i="3"/>
  <c r="H24" i="3" s="1"/>
  <c r="I24" i="3" s="1"/>
  <c r="G23" i="3"/>
  <c r="F23" i="3"/>
  <c r="H23" i="3" s="1"/>
  <c r="I23" i="3" s="1"/>
  <c r="G22" i="3"/>
  <c r="F22" i="3"/>
  <c r="H22" i="3" s="1"/>
  <c r="I22" i="3" s="1"/>
  <c r="G21" i="3"/>
  <c r="F21" i="3"/>
  <c r="H21" i="3" s="1"/>
  <c r="I21" i="3" s="1"/>
  <c r="G20" i="3"/>
  <c r="F20" i="3"/>
  <c r="H20" i="3" s="1"/>
  <c r="I20" i="3" s="1"/>
  <c r="G19" i="3"/>
  <c r="F19" i="3"/>
  <c r="H19" i="3" s="1"/>
  <c r="I19" i="3" s="1"/>
  <c r="G18" i="3"/>
  <c r="F18" i="3"/>
  <c r="H18" i="3" s="1"/>
  <c r="I18" i="3" s="1"/>
  <c r="G17" i="3"/>
  <c r="F17" i="3"/>
  <c r="H17" i="3" s="1"/>
  <c r="I17" i="3" s="1"/>
  <c r="G16" i="3"/>
  <c r="F16" i="3"/>
  <c r="H16" i="3" s="1"/>
  <c r="I16" i="3" s="1"/>
  <c r="G15" i="3"/>
  <c r="F15" i="3"/>
  <c r="H15" i="3" s="1"/>
  <c r="I15" i="3" s="1"/>
  <c r="G14" i="3"/>
  <c r="F14" i="3"/>
  <c r="H14" i="3" s="1"/>
  <c r="I14" i="3" s="1"/>
  <c r="G13" i="3"/>
  <c r="F13" i="3"/>
  <c r="H13" i="3" s="1"/>
  <c r="I13" i="3" s="1"/>
  <c r="G12" i="3"/>
  <c r="F12" i="3"/>
  <c r="H12" i="3" s="1"/>
  <c r="I12" i="3" s="1"/>
  <c r="G11" i="3"/>
  <c r="F11" i="3"/>
  <c r="H11" i="3" s="1"/>
  <c r="I11" i="3" s="1"/>
  <c r="G10" i="3"/>
  <c r="F10" i="3"/>
  <c r="H10" i="3" s="1"/>
  <c r="I10" i="3" s="1"/>
  <c r="G9" i="3"/>
  <c r="F9" i="3"/>
  <c r="H9" i="3" s="1"/>
  <c r="I9" i="3" s="1"/>
  <c r="G8" i="3"/>
  <c r="F8" i="3"/>
  <c r="H8" i="3" s="1"/>
  <c r="I8" i="3" s="1"/>
  <c r="G7" i="3"/>
  <c r="F7" i="3"/>
  <c r="H7" i="3" s="1"/>
  <c r="I7" i="3" s="1"/>
  <c r="G6" i="3"/>
  <c r="F6" i="3"/>
  <c r="H6" i="3" s="1"/>
  <c r="I6" i="3" s="1"/>
  <c r="G5" i="3"/>
  <c r="F5" i="3"/>
  <c r="H5" i="3" s="1"/>
  <c r="I5" i="3" s="1"/>
  <c r="G4" i="3"/>
  <c r="F4" i="3"/>
  <c r="H4" i="3" s="1"/>
  <c r="I4" i="3" s="1"/>
  <c r="G3" i="3"/>
  <c r="F3" i="3"/>
  <c r="H3" i="3" s="1"/>
  <c r="I3" i="3" s="1"/>
  <c r="G2" i="3"/>
  <c r="F2" i="3"/>
  <c r="H2" i="3" s="1"/>
  <c r="K10" i="3" s="1"/>
  <c r="K7" i="3" l="1"/>
  <c r="K2" i="3"/>
</calcChain>
</file>

<file path=xl/sharedStrings.xml><?xml version="1.0" encoding="utf-8"?>
<sst xmlns="http://schemas.openxmlformats.org/spreadsheetml/2006/main" count="203" uniqueCount="37">
  <si>
    <t>Date</t>
  </si>
  <si>
    <t>Sales Person</t>
  </si>
  <si>
    <t>Region</t>
  </si>
  <si>
    <t>Product</t>
  </si>
  <si>
    <t>Units Sold</t>
  </si>
  <si>
    <t>Unit Price</t>
  </si>
  <si>
    <t>Cost of Goods</t>
  </si>
  <si>
    <t>Total Sales</t>
  </si>
  <si>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</si>
  <si>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</si>
  <si>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</si>
  <si>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</si>
  <si>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</si>
  <si>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</si>
  <si>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</si>
  <si>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</si>
  <si>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</si>
  <si>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</si>
  <si>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</si>
  <si>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</si>
  <si>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</si>
  <si>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</si>
  <si>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</si>
  <si>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</si>
  <si>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</si>
  <si>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</si>
  <si>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</si>
  <si>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</si>
  <si>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Smartphone</t>
  </si>
  <si>
    <t>Profit</t>
  </si>
  <si>
    <t>Grand Total</t>
  </si>
  <si>
    <t>Unit Sold</t>
  </si>
  <si>
    <t>Total Profit</t>
  </si>
  <si>
    <t>Average Sles</t>
  </si>
  <si>
    <t>Row Labels</t>
  </si>
  <si>
    <t>Sum of Total Sales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</si>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</sst>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 #,##0.00_ ;_ * \-#,##0.00_ ;_ * &quot;-&quot;??_ ;_ @_ "/>
    <numFmt numFmtId="164" formatCode="_ &quot;Rs.&quot;\ * #,##0_ ;_ &quot;Rs.&quot;\ * \-#,##0_ ;_ &quot;Rs.&quot;\ * &quot;-&quot;_ ;_ @_ "/>
    <numFmt numFmtId="165" formatCode="&quot;Rs.&quot;##\.##,&quot;L&quot;"/>
    <numFmt numFmtId="166" formatCode="##\.##,&quot;L&quot;"/>
    <numFmt numFmtId="167" formatCode="_ * #,##0_ ;_ * \-#,##0_ ;_ * &quot;-&quot;??_ ;_ @_ "/>
  </numFmts>
  <fonts count="3" x14ac:knownFonts="1">
    <font>
      <sz val="11"/>
      <color theme="1"/>
      <name val="Aptos Narrow"/>
      <family val="2"/>
      <scheme val="minor"/>
    </font>
    <font>
      <sz val="11"/>
      <color theme="1"/>
      <name val="Aptos Narrow"/>
      <family val="2"/>
      <scheme val="minor"/>
    </font>
    <font>
      <sz val="11"/>
      <color theme="0"/>
      <name val="Aptos Narrow"/>
      <family val="2"/>
      <scheme val="minor"/>
    </font>
  </fonts>
  <fills count="4">
    <fill>
      <patternFill patternType="none"/>
    </fill>
    <fill>
      <patternFill patternType="gray125"/>
    </fill>
    <fill>
      <patternFill patternType="solid">
        <fgColor rgb="FF002060"/>
        <bgColor indexed="64"/>
      </patternFill>
    </fill>
    <fill>
      <patternFill patternType="solid">
        <fgColor theme="0" tint="-0.34998626667073579"/>
        <bgColor indexed="64"/>
      </patternFill>
    </fill>
  </fills>
  <borders count="2">
    <border>
      <left/>
      <right/>
      <top/>
      <bottom/>
      <diagonal/>
    </border>
    <border>
      <left/>
      <right/>
      <top/>
      <bottom style="thick">
        <color rgb="FFFFC000"/>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3">
    <xf numFmtId="0" fontId="0" fillId="0" borderId="0" xfId="0"/>
    <xf numFmtId="0" fontId="2" fillId="2" borderId="1" xfId="0" applyFont="1" applyFill="1" applyBorder="1" applyAlignment="1">
      <alignment horizontal="center" vertical="center"/>
    </xf>
    <xf numFmtId="14" fontId="0" fillId="0" borderId="0" xfId="0" applyNumberFormat="1" applyAlignment="1">
      <alignment horizontal="center"/>
    </xf>
    <xf numFmtId="0" fontId="0" fillId="0" borderId="0" xfId="0" applyAlignment="1">
      <alignment horizontal="left"/>
    </xf>
    <xf numFmtId="164" fontId="0" fillId="0" borderId="0" xfId="1" applyFont="1"/>
    <xf numFmtId="0" fontId="2" fillId="2" borderId="0" xfId="0" applyFont="1" applyFill="1" applyAlignment="1">
      <alignment horizontal="center" vertical="center"/>
    </xf>
    <xf numFmtId="0" fontId="0" fillId="0" borderId="0" xfId="0" pivotButton="1"/>
    <xf numFmtId="165" fontId="0" fillId="0" borderId="0" xfId="0" applyNumberFormat="1"/>
    <xf numFmtId="166" fontId="0" fillId="0" borderId="0" xfId="0" applyNumberFormat="1"/>
    <xf numFmtId="167" fontId="0" fillId="0" borderId="0" xfId="2" applyNumberFormat="1" applyFont="1"/>
    <xf numFmtId="43" fontId="0" fillId="0" borderId="0" xfId="0" applyNumberFormat="1"/>
    <xf numFmtId="0" fontId="0" fillId="3" borderId="0" xfId="0" applyFill="1" applyAlignment="1">
      <alignment horizontal="center"/>
    </xf>
    <xf numFmtId="0" fontId="0" fillId="3" borderId="0" xfId="0" applyFill="1"/>
  </cellXfs>
  <cellStyles count="3">
    <cellStyle name="Comma" xfId="2" builtinId="3"/>
    <cellStyle name="Currency [0]" xfId="1" builtinId="7"/>
    <cellStyle name="Normal" xfId="0" builtinId="0"/>
  </cellStyles>
  <dxfs count="40">
    <dxf>
      <numFmt numFmtId="35" formatCode="_ * #,##0.00_ ;_ * \-#,##0.00_ ;_ * &quot;-&quot;??_ ;_ @_ "/>
    </dxf>
    <dxf>
      <numFmt numFmtId="169" formatCode="&quot;₹&quot;\ #,##0.00"/>
    </dxf>
    <dxf>
      <numFmt numFmtId="168" formatCode="&quot;Rs&quot;#,###,##0,&quot;L&quot;"/>
    </dxf>
    <dxf>
      <numFmt numFmtId="165" formatCode="&quot;Rs.&quot;##\.##,&quot;L&quot;"/>
    </dxf>
    <dxf>
      <numFmt numFmtId="35" formatCode="_ * #,##0.00_ ;_ * \-#,##0.00_ ;_ * &quot;-&quot;??_ ;_ @_ "/>
    </dxf>
    <dxf>
      <numFmt numFmtId="169" formatCode="&quot;₹&quot;\ #,##0.00"/>
    </dxf>
    <dxf>
      <numFmt numFmtId="168" formatCode="&quot;Rs&quot;#,###,##0,&quot;L&quot;"/>
    </dxf>
    <dxf>
      <numFmt numFmtId="165" formatCode="&quot;Rs.&quot;##\.##,&quot;L&quot;"/>
    </dxf>
    <dxf>
      <numFmt numFmtId="35" formatCode="_ * #,##0.00_ ;_ * \-#,##0.00_ ;_ * &quot;-&quot;??_ ;_ @_ "/>
    </dxf>
    <dxf>
      <numFmt numFmtId="169" formatCode="&quot;₹&quot;\ #,##0.00"/>
    </dxf>
    <dxf>
      <numFmt numFmtId="168" formatCode="&quot;Rs&quot;#,###,##0,&quot;L&quot;"/>
    </dxf>
    <dxf>
      <numFmt numFmtId="165" formatCode="&quot;Rs.&quot;##\.##,&quot;L&quot;"/>
    </dxf>
    <dxf>
      <numFmt numFmtId="35" formatCode="_ * #,##0.00_ ;_ * \-#,##0.00_ ;_ * &quot;-&quot;??_ ;_ @_ "/>
    </dxf>
    <dxf>
      <numFmt numFmtId="169" formatCode="&quot;₹&quot;\ #,##0.00"/>
    </dxf>
    <dxf>
      <numFmt numFmtId="168" formatCode="&quot;Rs&quot;#,###,##0,&quot;L&quot;"/>
    </dxf>
    <dxf>
      <numFmt numFmtId="165" formatCode="&quot;Rs.&quot;##\.##,&quot;L&quot;"/>
    </dxf>
    <dxf>
      <numFmt numFmtId="35" formatCode="_ * #,##0.00_ ;_ * \-#,##0.00_ ;_ * &quot;-&quot;??_ ;_ @_ "/>
    </dxf>
    <dxf>
      <numFmt numFmtId="169" formatCode="&quot;₹&quot;\ #,##0.00"/>
    </dxf>
    <dxf>
      <numFmt numFmtId="168" formatCode="&quot;Rs&quot;#,###,##0,&quot;L&quot;"/>
    </dxf>
    <dxf>
      <numFmt numFmtId="165" formatCode="&quot;Rs.&quot;##\.##,&quot;L&quot;"/>
    </dxf>
    <dxf>
      <numFmt numFmtId="35" formatCode="_ * #,##0.00_ ;_ * \-#,##0.00_ ;_ * &quot;-&quot;??_ ;_ @_ "/>
    </dxf>
    <dxf>
      <numFmt numFmtId="169" formatCode="&quot;₹&quot;\ #,##0.00"/>
    </dxf>
    <dxf>
      <numFmt numFmtId="168" formatCode="&quot;Rs&quot;#,###,##0,&quot;L&quot;"/>
    </dxf>
    <dxf>
      <numFmt numFmtId="165" formatCode="&quot;Rs.&quot;##\.##,&quot;L&quot;"/>
    </dxf>
    <dxf>
      <numFmt numFmtId="35" formatCode="_ * #,##0.00_ ;_ * \-#,##0.00_ ;_ * &quot;-&quot;??_ ;_ @_ "/>
    </dxf>
    <dxf>
      <numFmt numFmtId="169" formatCode="&quot;₹&quot;\ #,##0.00"/>
    </dxf>
    <dxf>
      <numFmt numFmtId="168" formatCode="&quot;Rs&quot;#,###,##0,&quot;L&quot;"/>
    </dxf>
    <dxf>
      <numFmt numFmtId="165" formatCode="&quot;Rs.&quot;##\.##,&quot;L&quo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alignment horizontal="left" vertical="bottom" textRotation="0" wrapText="0" indent="0" justifyLastLine="0" shrinkToFit="0" readingOrder="0"/>
    </dxf>
    <dxf>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0"/>
        <name val="Aptos Narrow"/>
        <family val="2"/>
        <scheme val="minor"/>
      </font>
      <fill>
        <patternFill patternType="solid">
          <fgColor indexed="64"/>
          <bgColor rgb="FF002060"/>
        </patternFill>
      </fill>
      <alignment horizontal="center" vertical="center" textRotation="0" wrapText="0" indent="0" justifyLastLine="0" shrinkToFit="0" readingOrder="0"/>
    </dxf>
    <dxf>
      <numFmt numFmtId="165" formatCode="&quot;Rs.&quot;##\.##,&quot;L&quot;"/>
    </dxf>
    <dxf>
      <numFmt numFmtId="168" formatCode="&quot;Rs&quot;#,###,##0,&quot;L&quot;"/>
    </dxf>
    <dxf>
      <numFmt numFmtId="169" formatCode="&quot;₹&quot;\ #,##0.00"/>
    </dxf>
    <dxf>
      <numFmt numFmtId="35" formatCode="_ * #,##0.00_ ;_ * \-#,##0.00_ ;_ * &quot;-&quot;??_ ;_ @_ "/>
    </dxf>
  </dxfs>
  <tableStyles count="3" defaultTableStyle="TableStyleMedium2" defaultPivotStyle="PivotStyleLight16">
    <tableStyle name="Invisible" pivot="0" table="0" count="0" xr9:uid="{BDFCBA0C-0FAD-47E9-B8E0-311E6D449765}"/>
    <tableStyle name="Slicer Style 1" pivot="0" table="0" count="0" xr9:uid="{0C66905B-30E1-4ED6-98E5-1DA532FADC3A}"/>
    <tableStyle name="Slicer Style 2" pivot="0" table="0" count="0" xr9:uid="{7AC15951-BA67-4ED1-9F48-19514BC1AE66}"/>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Tables!PivotTable6</c:name>
    <c:fmtId val="1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5">
                <a:lumMod val="50000"/>
              </a:schemeClr>
            </a:solidFill>
            <a:round/>
          </a:ln>
          <a:effectLst>
            <a:outerShdw blurRad="57150" dist="19050" dir="5400000" algn="ctr" rotWithShape="0">
              <a:srgbClr val="000000">
                <a:alpha val="63000"/>
              </a:srgbClr>
            </a:outerShdw>
          </a:effectLst>
        </c:spPr>
        <c:marker>
          <c:symbol val="square"/>
          <c:size val="8"/>
          <c:spPr>
            <a:solidFill>
              <a:schemeClr val="tx1"/>
            </a:solidFill>
            <a:ln w="22225">
              <a:solidFill>
                <a:schemeClr val="accent5">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5">
                <a:lumMod val="50000"/>
              </a:schemeClr>
            </a:solidFill>
            <a:round/>
          </a:ln>
          <a:effectLst>
            <a:outerShdw blurRad="57150" dist="19050" dir="5400000" algn="ctr" rotWithShape="0">
              <a:srgbClr val="000000">
                <a:alpha val="63000"/>
              </a:srgbClr>
            </a:outerShdw>
          </a:effectLst>
        </c:spPr>
        <c:marker>
          <c:symbol val="square"/>
          <c:size val="8"/>
          <c:spPr>
            <a:solidFill>
              <a:schemeClr val="tx1"/>
            </a:solidFill>
            <a:ln w="22225">
              <a:solidFill>
                <a:schemeClr val="accent5">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lumMod val="50000"/>
              </a:schemeClr>
            </a:solidFill>
            <a:round/>
          </a:ln>
          <a:effectLst>
            <a:outerShdw blurRad="57150" dist="19050" dir="5400000" algn="ctr" rotWithShape="0">
              <a:srgbClr val="000000">
                <a:alpha val="63000"/>
              </a:srgbClr>
            </a:outerShdw>
          </a:effectLst>
        </c:spPr>
        <c:marker>
          <c:symbol val="square"/>
          <c:size val="8"/>
          <c:spPr>
            <a:solidFill>
              <a:schemeClr val="tx1"/>
            </a:solidFill>
            <a:ln w="22225">
              <a:solidFill>
                <a:schemeClr val="accent5">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354491359378815E-2"/>
          <c:y val="0.10410170414905756"/>
          <c:w val="0.93888888888888888"/>
          <c:h val="0.72756525560320284"/>
        </c:manualLayout>
      </c:layout>
      <c:lineChart>
        <c:grouping val="standard"/>
        <c:varyColors val="0"/>
        <c:ser>
          <c:idx val="0"/>
          <c:order val="0"/>
          <c:tx>
            <c:strRef>
              <c:f>'Pivot Tables'!$L$7</c:f>
              <c:strCache>
                <c:ptCount val="1"/>
                <c:pt idx="0">
                  <c:v>Total</c:v>
                </c:pt>
              </c:strCache>
            </c:strRef>
          </c:tx>
          <c:spPr>
            <a:ln w="34925" cap="rnd">
              <a:solidFill>
                <a:schemeClr val="accent5">
                  <a:lumMod val="50000"/>
                </a:schemeClr>
              </a:solidFill>
              <a:round/>
            </a:ln>
            <a:effectLst>
              <a:outerShdw blurRad="57150" dist="19050" dir="5400000" algn="ctr" rotWithShape="0">
                <a:srgbClr val="000000">
                  <a:alpha val="63000"/>
                </a:srgbClr>
              </a:outerShdw>
            </a:effectLst>
          </c:spPr>
          <c:marker>
            <c:symbol val="square"/>
            <c:size val="8"/>
            <c:spPr>
              <a:solidFill>
                <a:schemeClr val="tx1"/>
              </a:solidFill>
              <a:ln w="22225">
                <a:solidFill>
                  <a:schemeClr val="accent5">
                    <a:lumMod val="5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Tables'!$K$8:$K$15</c:f>
              <c:strCache>
                <c:ptCount val="7"/>
                <c:pt idx="0">
                  <c:v>Action Figure</c:v>
                </c:pt>
                <c:pt idx="1">
                  <c:v>Blender</c:v>
                </c:pt>
                <c:pt idx="2">
                  <c:v>Moisturizer</c:v>
                </c:pt>
                <c:pt idx="3">
                  <c:v>Novel</c:v>
                </c:pt>
                <c:pt idx="4">
                  <c:v>Smartphone</c:v>
                </c:pt>
                <c:pt idx="5">
                  <c:v>Sneakers</c:v>
                </c:pt>
                <c:pt idx="6">
                  <c:v>Tent</c:v>
                </c:pt>
              </c:strCache>
            </c:strRef>
          </c:cat>
          <c:val>
            <c:numRef>
              <c:f>'Pivot Tables'!$L$8:$L$15</c:f>
              <c:numCache>
                <c:formatCode>_(* #,##0.00_);_(* \(#,##0.00\);_(* "-"??_);_(@_)</c:formatCode>
                <c:ptCount val="7"/>
                <c:pt idx="0">
                  <c:v>456</c:v>
                </c:pt>
                <c:pt idx="1">
                  <c:v>635</c:v>
                </c:pt>
                <c:pt idx="2">
                  <c:v>1178</c:v>
                </c:pt>
                <c:pt idx="3">
                  <c:v>898</c:v>
                </c:pt>
                <c:pt idx="4">
                  <c:v>235</c:v>
                </c:pt>
                <c:pt idx="5">
                  <c:v>799</c:v>
                </c:pt>
                <c:pt idx="6">
                  <c:v>504</c:v>
                </c:pt>
              </c:numCache>
            </c:numRef>
          </c:val>
          <c:smooth val="1"/>
          <c:extLst>
            <c:ext xmlns:c16="http://schemas.microsoft.com/office/drawing/2014/chart" uri="{C3380CC4-5D6E-409C-BE32-E72D297353CC}">
              <c16:uniqueId val="{00000000-B2CF-42AA-BAC3-85AB75F80882}"/>
            </c:ext>
          </c:extLst>
        </c:ser>
        <c:dLbls>
          <c:dLblPos val="t"/>
          <c:showLegendKey val="0"/>
          <c:showVal val="1"/>
          <c:showCatName val="0"/>
          <c:showSerName val="0"/>
          <c:showPercent val="0"/>
          <c:showBubbleSize val="0"/>
        </c:dLbls>
        <c:marker val="1"/>
        <c:smooth val="0"/>
        <c:axId val="321173375"/>
        <c:axId val="321177695"/>
      </c:lineChart>
      <c:catAx>
        <c:axId val="3211733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21177695"/>
        <c:crosses val="autoZero"/>
        <c:auto val="1"/>
        <c:lblAlgn val="ctr"/>
        <c:lblOffset val="100"/>
        <c:noMultiLvlLbl val="0"/>
      </c:catAx>
      <c:valAx>
        <c:axId val="321177695"/>
        <c:scaling>
          <c:orientation val="minMax"/>
        </c:scaling>
        <c:delete val="1"/>
        <c:axPos val="l"/>
        <c:numFmt formatCode="_(* #,##0.00_);_(* \(#,##0.00\);_(* &quot;-&quot;??_);_(@_)" sourceLinked="1"/>
        <c:majorTickMark val="none"/>
        <c:minorTickMark val="none"/>
        <c:tickLblPos val="nextTo"/>
        <c:crossAx val="32117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Dashboard.xlsx]Slicers!PivotTable8</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0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w="19050">
            <a:solidFill>
              <a:schemeClr val="lt1"/>
            </a:solidFill>
          </a:ln>
          <a:effectLst/>
        </c:spPr>
        <c:dLbl>
          <c:idx val="0"/>
          <c:layout>
            <c:manualLayout>
              <c:x val="0.13055555555555556"/>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0.12777777777777777"/>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layout>
            <c:manualLayout>
              <c:x val="-0.13055555555555559"/>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0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030A0"/>
          </a:solidFill>
          <a:ln w="19050">
            <a:solidFill>
              <a:schemeClr val="lt1"/>
            </a:solidFill>
          </a:ln>
          <a:effectLst/>
        </c:spPr>
        <c:dLbl>
          <c:idx val="0"/>
          <c:layout>
            <c:manualLayout>
              <c:x val="0.13055555555555556"/>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3055555555555559"/>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777777777777777"/>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30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030A0"/>
          </a:solidFill>
          <a:ln w="19050">
            <a:solidFill>
              <a:schemeClr val="lt1"/>
            </a:solidFill>
          </a:ln>
          <a:effectLst/>
        </c:spPr>
        <c:dLbl>
          <c:idx val="0"/>
          <c:layout>
            <c:manualLayout>
              <c:x val="0.13055555555555556"/>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3055555555555559"/>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2777777777777777"/>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Slicers!$B$3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29-44DF-82CD-EF5F8D003F0B}"/>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3-1A29-44DF-82CD-EF5F8D003F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29-44DF-82CD-EF5F8D003F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A29-44DF-82CD-EF5F8D003F0B}"/>
              </c:ext>
            </c:extLst>
          </c:dPt>
          <c:dLbls>
            <c:dLbl>
              <c:idx val="0"/>
              <c:layout>
                <c:manualLayout>
                  <c:x val="0.13055555555555556"/>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A29-44DF-82CD-EF5F8D003F0B}"/>
                </c:ext>
              </c:extLst>
            </c:dLbl>
            <c:dLbl>
              <c:idx val="1"/>
              <c:layout>
                <c:manualLayout>
                  <c:x val="0.13055555555555556"/>
                  <c:y val="-1.38888888888889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A29-44DF-82CD-EF5F8D003F0B}"/>
                </c:ext>
              </c:extLst>
            </c:dLbl>
            <c:dLbl>
              <c:idx val="2"/>
              <c:layout>
                <c:manualLayout>
                  <c:x val="-0.13055555555555559"/>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A29-44DF-82CD-EF5F8D003F0B}"/>
                </c:ext>
              </c:extLst>
            </c:dLbl>
            <c:dLbl>
              <c:idx val="3"/>
              <c:layout>
                <c:manualLayout>
                  <c:x val="-0.12777777777777777"/>
                  <c:y val="-3.24074074074074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A29-44DF-82CD-EF5F8D003F0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Slicers!$A$4:$A$8</c:f>
              <c:strCache>
                <c:ptCount val="4"/>
                <c:pt idx="0">
                  <c:v>East</c:v>
                </c:pt>
                <c:pt idx="1">
                  <c:v>North</c:v>
                </c:pt>
                <c:pt idx="2">
                  <c:v>South</c:v>
                </c:pt>
                <c:pt idx="3">
                  <c:v>West</c:v>
                </c:pt>
              </c:strCache>
            </c:strRef>
          </c:cat>
          <c:val>
            <c:numRef>
              <c:f>Slicers!$B$4:$B$8</c:f>
              <c:numCache>
                <c:formatCode>"Rs."##\.##,"L"</c:formatCode>
                <c:ptCount val="4"/>
                <c:pt idx="0">
                  <c:v>3534400</c:v>
                </c:pt>
                <c:pt idx="1">
                  <c:v>2661400</c:v>
                </c:pt>
                <c:pt idx="2">
                  <c:v>2870600</c:v>
                </c:pt>
                <c:pt idx="3">
                  <c:v>3878100</c:v>
                </c:pt>
              </c:numCache>
            </c:numRef>
          </c:val>
          <c:extLst>
            <c:ext xmlns:c16="http://schemas.microsoft.com/office/drawing/2014/chart" uri="{C3380CC4-5D6E-409C-BE32-E72D297353CC}">
              <c16:uniqueId val="{00000008-1A29-44DF-82CD-EF5F8D003F0B}"/>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Tables!PivotTable4</c:name>
    <c:fmtId val="9"/>
  </c:pivotSource>
  <c:chart>
    <c:autoTitleDeleted val="1"/>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dLbl>
          <c:idx val="0"/>
          <c:layout>
            <c:manualLayout>
              <c:x val="2.7777777777777779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B49700F-6260-4B78-AF95-91E785930C03}"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316537B-8F36-43FB-96C1-FF9067C50CEF}"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5">
              <a:lumMod val="75000"/>
            </a:schemeClr>
          </a:solidFill>
          <a:ln>
            <a:noFill/>
          </a:ln>
          <a:effectLst/>
        </c:spPr>
        <c:dLbl>
          <c:idx val="0"/>
          <c:layout>
            <c:manualLayout>
              <c:x val="-2.7777777777778286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BD42D14-B5A8-42A1-B661-A2E9B51AC465}"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5">
              <a:lumMod val="75000"/>
            </a:schemeClr>
          </a:solidFill>
          <a:ln>
            <a:noFill/>
          </a:ln>
          <a:effectLst/>
        </c:spPr>
        <c:dLbl>
          <c:idx val="0"/>
          <c:layout>
            <c:manualLayout>
              <c:x val="0"/>
              <c:y val="-8.4875562720133283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D5C1C11-5A7A-41E3-8209-2F15E65E827B}"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5B621E6-068A-4C40-B5FC-0FB13B89A478}"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4406028-F39B-4737-96A6-67A37B625136}"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EAFF960-E52A-46F2-AFB6-EBCADDACEF91}"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4406028-F39B-4737-96A6-67A37B625136}"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5B621E6-068A-4C40-B5FC-0FB13B89A478}"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5">
              <a:lumMod val="75000"/>
            </a:schemeClr>
          </a:solidFill>
          <a:ln>
            <a:noFill/>
          </a:ln>
          <a:effectLst/>
        </c:spPr>
        <c:dLbl>
          <c:idx val="0"/>
          <c:layout>
            <c:manualLayout>
              <c:x val="0"/>
              <c:y val="-8.4875562720133283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D5C1C11-5A7A-41E3-8209-2F15E65E827B}"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5">
              <a:lumMod val="75000"/>
            </a:schemeClr>
          </a:solidFill>
          <a:ln>
            <a:noFill/>
          </a:ln>
          <a:effectLst/>
        </c:spPr>
        <c:dLbl>
          <c:idx val="0"/>
          <c:layout>
            <c:manualLayout>
              <c:x val="-2.7777777777778286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BD42D14-B5A8-42A1-B661-A2E9B51AC465}"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316537B-8F36-43FB-96C1-FF9067C50CEF}"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EAFF960-E52A-46F2-AFB6-EBCADDACEF91}"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5">
              <a:lumMod val="75000"/>
            </a:schemeClr>
          </a:solidFill>
          <a:ln>
            <a:noFill/>
          </a:ln>
          <a:effectLst/>
        </c:spPr>
        <c:dLbl>
          <c:idx val="0"/>
          <c:layout>
            <c:manualLayout>
              <c:x val="2.7777777777777779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B49700F-6260-4B78-AF95-91E785930C03}"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5">
              <a:lumMod val="50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4406028-F39B-4737-96A6-67A37B625136}" type="VALUE">
                  <a:rPr lang="en-US">
                    <a:solidFill>
                      <a:schemeClr val="tx1"/>
                    </a:solidFill>
                  </a:rPr>
                  <a:pPr>
                    <a:defRPr b="1"/>
                  </a:pPr>
                  <a:t>[VALUE]</a:t>
                </a:fld>
                <a:endParaRPr lang="en-IN"/>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chemeClr val="accent5">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5B621E6-068A-4C40-B5FC-0FB13B89A478}" type="VALUE">
                  <a:rPr lang="en-US">
                    <a:solidFill>
                      <a:schemeClr val="tx1"/>
                    </a:solidFill>
                  </a:rPr>
                  <a:pPr>
                    <a:defRPr b="1"/>
                  </a:pPr>
                  <a:t>[VALUE]</a:t>
                </a:fld>
                <a:endParaRPr lang="en-IN"/>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chemeClr val="accent5">
              <a:lumMod val="50000"/>
            </a:schemeClr>
          </a:solidFill>
          <a:ln>
            <a:noFill/>
          </a:ln>
          <a:effectLst/>
        </c:spPr>
        <c:dLbl>
          <c:idx val="0"/>
          <c:layout>
            <c:manualLayout>
              <c:x val="0"/>
              <c:y val="-8.4875562720133283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D5C1C11-5A7A-41E3-8209-2F15E65E827B}" type="VALUE">
                  <a:rPr lang="en-US">
                    <a:solidFill>
                      <a:schemeClr val="tx1"/>
                    </a:solidFill>
                  </a:rPr>
                  <a:pPr>
                    <a:defRPr b="1"/>
                  </a:pPr>
                  <a:t>[VALUE]</a:t>
                </a:fld>
                <a:endParaRPr lang="en-IN"/>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chemeClr val="accent5">
              <a:lumMod val="50000"/>
            </a:schemeClr>
          </a:solidFill>
          <a:ln>
            <a:noFill/>
          </a:ln>
          <a:effectLst/>
        </c:spPr>
        <c:dLbl>
          <c:idx val="0"/>
          <c:layout>
            <c:manualLayout>
              <c:x val="-2.7777777777778286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BD42D14-B5A8-42A1-B661-A2E9B51AC465}" type="VALUE">
                  <a:rPr lang="en-US">
                    <a:solidFill>
                      <a:schemeClr val="tx1"/>
                    </a:solidFill>
                  </a:rPr>
                  <a:pPr>
                    <a:defRPr b="1"/>
                  </a:pPr>
                  <a:t>[VALUE]</a:t>
                </a:fld>
                <a:endParaRPr lang="en-IN"/>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chemeClr val="accent5">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316537B-8F36-43FB-96C1-FF9067C50CEF}" type="VALUE">
                  <a:rPr lang="en-US">
                    <a:solidFill>
                      <a:schemeClr val="tx1"/>
                    </a:solidFill>
                  </a:rPr>
                  <a:pPr>
                    <a:defRPr b="1"/>
                  </a:pPr>
                  <a:t>[VALUE]</a:t>
                </a:fld>
                <a:endParaRPr lang="en-IN"/>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solidFill>
            <a:schemeClr val="accent5">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EAFF960-E52A-46F2-AFB6-EBCADDACEF91}" type="VALUE">
                  <a:rPr lang="en-US">
                    <a:solidFill>
                      <a:schemeClr val="tx1"/>
                    </a:solidFill>
                  </a:rPr>
                  <a:pPr>
                    <a:defRPr b="1"/>
                  </a:pPr>
                  <a:t>[VALUE]</a:t>
                </a:fld>
                <a:endParaRPr lang="en-IN"/>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chemeClr val="accent5">
              <a:lumMod val="50000"/>
            </a:schemeClr>
          </a:solidFill>
          <a:ln>
            <a:noFill/>
          </a:ln>
          <a:effectLst/>
        </c:spPr>
        <c:dLbl>
          <c:idx val="0"/>
          <c:layout>
            <c:manualLayout>
              <c:x val="2.7777777777777779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B49700F-6260-4B78-AF95-91E785930C03}" type="VALUE">
                  <a:rPr lang="en-US">
                    <a:solidFill>
                      <a:schemeClr val="tx1"/>
                    </a:solidFill>
                  </a:rPr>
                  <a:pPr>
                    <a:defRPr b="1"/>
                  </a:pPr>
                  <a:t>[VALUE]</a:t>
                </a:fld>
                <a:endParaRPr lang="en-IN"/>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9889296285968283"/>
          <c:y val="0.10185173410037077"/>
          <c:w val="0.79091863517060368"/>
          <c:h val="0.89814814814814814"/>
        </c:manualLayout>
      </c:layout>
      <c:barChart>
        <c:barDir val="bar"/>
        <c:grouping val="clustered"/>
        <c:varyColors val="0"/>
        <c:ser>
          <c:idx val="0"/>
          <c:order val="0"/>
          <c:tx>
            <c:strRef>
              <c:f>'Pivot Tables'!$F$6</c:f>
              <c:strCache>
                <c:ptCount val="1"/>
                <c:pt idx="0">
                  <c:v>Total</c:v>
                </c:pt>
              </c:strCache>
            </c:strRef>
          </c:tx>
          <c:spPr>
            <a:solidFill>
              <a:schemeClr val="accent5">
                <a:lumMod val="50000"/>
              </a:schemeClr>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0-45F1-460A-BC77-664A94F48194}"/>
              </c:ext>
            </c:extLst>
          </c:dPt>
          <c:dPt>
            <c:idx val="1"/>
            <c:invertIfNegative val="0"/>
            <c:bubble3D val="0"/>
            <c:spPr>
              <a:solidFill>
                <a:schemeClr val="accent5">
                  <a:lumMod val="50000"/>
                </a:schemeClr>
              </a:solidFill>
              <a:ln>
                <a:noFill/>
              </a:ln>
              <a:effectLst/>
            </c:spPr>
            <c:extLst>
              <c:ext xmlns:c16="http://schemas.microsoft.com/office/drawing/2014/chart" uri="{C3380CC4-5D6E-409C-BE32-E72D297353CC}">
                <c16:uniqueId val="{00000001-45F1-460A-BC77-664A94F48194}"/>
              </c:ext>
            </c:extLst>
          </c:dPt>
          <c:dPt>
            <c:idx val="2"/>
            <c:invertIfNegative val="0"/>
            <c:bubble3D val="0"/>
            <c:spPr>
              <a:solidFill>
                <a:schemeClr val="accent5">
                  <a:lumMod val="50000"/>
                </a:schemeClr>
              </a:solidFill>
              <a:ln>
                <a:noFill/>
              </a:ln>
              <a:effectLst/>
            </c:spPr>
            <c:extLst>
              <c:ext xmlns:c16="http://schemas.microsoft.com/office/drawing/2014/chart" uri="{C3380CC4-5D6E-409C-BE32-E72D297353CC}">
                <c16:uniqueId val="{00000002-45F1-460A-BC77-664A94F48194}"/>
              </c:ext>
            </c:extLst>
          </c:dPt>
          <c:dPt>
            <c:idx val="3"/>
            <c:invertIfNegative val="0"/>
            <c:bubble3D val="0"/>
            <c:spPr>
              <a:solidFill>
                <a:schemeClr val="accent5">
                  <a:lumMod val="50000"/>
                </a:schemeClr>
              </a:solidFill>
              <a:ln>
                <a:noFill/>
              </a:ln>
              <a:effectLst/>
            </c:spPr>
            <c:extLst>
              <c:ext xmlns:c16="http://schemas.microsoft.com/office/drawing/2014/chart" uri="{C3380CC4-5D6E-409C-BE32-E72D297353CC}">
                <c16:uniqueId val="{00000003-45F1-460A-BC77-664A94F48194}"/>
              </c:ext>
            </c:extLst>
          </c:dPt>
          <c:dPt>
            <c:idx val="4"/>
            <c:invertIfNegative val="0"/>
            <c:bubble3D val="0"/>
            <c:spPr>
              <a:solidFill>
                <a:schemeClr val="accent5">
                  <a:lumMod val="50000"/>
                </a:schemeClr>
              </a:solidFill>
              <a:ln>
                <a:noFill/>
              </a:ln>
              <a:effectLst/>
            </c:spPr>
            <c:extLst>
              <c:ext xmlns:c16="http://schemas.microsoft.com/office/drawing/2014/chart" uri="{C3380CC4-5D6E-409C-BE32-E72D297353CC}">
                <c16:uniqueId val="{00000004-45F1-460A-BC77-664A94F48194}"/>
              </c:ext>
            </c:extLst>
          </c:dPt>
          <c:dPt>
            <c:idx val="5"/>
            <c:invertIfNegative val="0"/>
            <c:bubble3D val="0"/>
            <c:spPr>
              <a:solidFill>
                <a:schemeClr val="accent5">
                  <a:lumMod val="50000"/>
                </a:schemeClr>
              </a:solidFill>
              <a:ln>
                <a:noFill/>
              </a:ln>
              <a:effectLst/>
            </c:spPr>
            <c:extLst>
              <c:ext xmlns:c16="http://schemas.microsoft.com/office/drawing/2014/chart" uri="{C3380CC4-5D6E-409C-BE32-E72D297353CC}">
                <c16:uniqueId val="{00000005-45F1-460A-BC77-664A94F48194}"/>
              </c:ext>
            </c:extLst>
          </c:dPt>
          <c:dPt>
            <c:idx val="6"/>
            <c:invertIfNegative val="0"/>
            <c:bubble3D val="0"/>
            <c:spPr>
              <a:solidFill>
                <a:schemeClr val="accent5">
                  <a:lumMod val="50000"/>
                </a:schemeClr>
              </a:solidFill>
              <a:ln>
                <a:noFill/>
              </a:ln>
              <a:effectLst/>
            </c:spPr>
            <c:extLst>
              <c:ext xmlns:c16="http://schemas.microsoft.com/office/drawing/2014/chart" uri="{C3380CC4-5D6E-409C-BE32-E72D297353CC}">
                <c16:uniqueId val="{00000006-45F1-460A-BC77-664A94F48194}"/>
              </c:ext>
            </c:extLst>
          </c:dPt>
          <c:dLbls>
            <c:dLbl>
              <c:idx val="0"/>
              <c:tx>
                <c:rich>
                  <a:bodyPr/>
                  <a:lstStyle/>
                  <a:p>
                    <a:fld id="{34406028-F39B-4737-96A6-67A37B625136}" type="VALUE">
                      <a:rPr lang="en-US">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45F1-460A-BC77-664A94F48194}"/>
                </c:ext>
              </c:extLst>
            </c:dLbl>
            <c:dLbl>
              <c:idx val="1"/>
              <c:tx>
                <c:rich>
                  <a:bodyPr/>
                  <a:lstStyle/>
                  <a:p>
                    <a:fld id="{75B621E6-068A-4C40-B5FC-0FB13B89A478}" type="VALUE">
                      <a:rPr lang="en-US">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5F1-460A-BC77-664A94F48194}"/>
                </c:ext>
              </c:extLst>
            </c:dLbl>
            <c:dLbl>
              <c:idx val="2"/>
              <c:layout>
                <c:manualLayout>
                  <c:x val="0"/>
                  <c:y val="-8.4875562720133283E-17"/>
                </c:manualLayout>
              </c:layout>
              <c:tx>
                <c:rich>
                  <a:bodyPr/>
                  <a:lstStyle/>
                  <a:p>
                    <a:fld id="{7D5C1C11-5A7A-41E3-8209-2F15E65E827B}" type="VALUE">
                      <a:rPr lang="en-US">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45F1-460A-BC77-664A94F48194}"/>
                </c:ext>
              </c:extLst>
            </c:dLbl>
            <c:dLbl>
              <c:idx val="3"/>
              <c:layout>
                <c:manualLayout>
                  <c:x val="-2.7777777777778286E-3"/>
                  <c:y val="0"/>
                </c:manualLayout>
              </c:layout>
              <c:tx>
                <c:rich>
                  <a:bodyPr/>
                  <a:lstStyle/>
                  <a:p>
                    <a:fld id="{BBD42D14-B5A8-42A1-B661-A2E9B51AC465}" type="VALUE">
                      <a:rPr lang="en-US">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5F1-460A-BC77-664A94F48194}"/>
                </c:ext>
              </c:extLst>
            </c:dLbl>
            <c:dLbl>
              <c:idx val="4"/>
              <c:tx>
                <c:rich>
                  <a:bodyPr/>
                  <a:lstStyle/>
                  <a:p>
                    <a:fld id="{1316537B-8F36-43FB-96C1-FF9067C50CEF}" type="VALUE">
                      <a:rPr lang="en-US">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45F1-460A-BC77-664A94F48194}"/>
                </c:ext>
              </c:extLst>
            </c:dLbl>
            <c:dLbl>
              <c:idx val="5"/>
              <c:tx>
                <c:rich>
                  <a:bodyPr/>
                  <a:lstStyle/>
                  <a:p>
                    <a:fld id="{6EAFF960-E52A-46F2-AFB6-EBCADDACEF91}" type="VALUE">
                      <a:rPr lang="en-US">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5F1-460A-BC77-664A94F48194}"/>
                </c:ext>
              </c:extLst>
            </c:dLbl>
            <c:dLbl>
              <c:idx val="6"/>
              <c:layout>
                <c:manualLayout>
                  <c:x val="2.7777777777777779E-3"/>
                  <c:y val="0"/>
                </c:manualLayout>
              </c:layout>
              <c:tx>
                <c:rich>
                  <a:bodyPr/>
                  <a:lstStyle/>
                  <a:p>
                    <a:fld id="{EB49700F-6260-4B78-AF95-91E785930C03}" type="VALUE">
                      <a:rPr lang="en-US">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45F1-460A-BC77-664A94F48194}"/>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Tables'!$E$7:$E$14</c:f>
              <c:strCache>
                <c:ptCount val="7"/>
                <c:pt idx="0">
                  <c:v>Action Figure</c:v>
                </c:pt>
                <c:pt idx="1">
                  <c:v>Blender</c:v>
                </c:pt>
                <c:pt idx="2">
                  <c:v>Moisturizer</c:v>
                </c:pt>
                <c:pt idx="3">
                  <c:v>Novel</c:v>
                </c:pt>
                <c:pt idx="4">
                  <c:v>Smartphone</c:v>
                </c:pt>
                <c:pt idx="5">
                  <c:v>Sneakers</c:v>
                </c:pt>
                <c:pt idx="6">
                  <c:v>Tent</c:v>
                </c:pt>
              </c:strCache>
            </c:strRef>
          </c:cat>
          <c:val>
            <c:numRef>
              <c:f>'Pivot Tables'!$F$7:$F$14</c:f>
              <c:numCache>
                <c:formatCode>##\.##,"L"</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7-45F1-460A-BC77-664A94F48194}"/>
            </c:ext>
          </c:extLst>
        </c:ser>
        <c:dLbls>
          <c:showLegendKey val="0"/>
          <c:showVal val="0"/>
          <c:showCatName val="0"/>
          <c:showSerName val="0"/>
          <c:showPercent val="0"/>
          <c:showBubbleSize val="0"/>
        </c:dLbls>
        <c:gapWidth val="56"/>
        <c:axId val="511234463"/>
        <c:axId val="511219103"/>
      </c:barChart>
      <c:catAx>
        <c:axId val="511234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1219103"/>
        <c:crosses val="autoZero"/>
        <c:auto val="1"/>
        <c:lblAlgn val="ctr"/>
        <c:lblOffset val="100"/>
        <c:noMultiLvlLbl val="0"/>
      </c:catAx>
      <c:valAx>
        <c:axId val="511219103"/>
        <c:scaling>
          <c:orientation val="minMax"/>
        </c:scaling>
        <c:delete val="1"/>
        <c:axPos val="b"/>
        <c:numFmt formatCode="##\.##,&quot;L&quot;" sourceLinked="1"/>
        <c:majorTickMark val="out"/>
        <c:minorTickMark val="none"/>
        <c:tickLblPos val="nextTo"/>
        <c:crossAx val="51123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410961212586482E-2"/>
          <c:y val="5.6189485637338395E-2"/>
          <c:w val="0.91010625606035223"/>
          <c:h val="0.77321372885320028"/>
        </c:manualLayout>
      </c:layout>
      <c:barChart>
        <c:barDir val="col"/>
        <c:grouping val="clustered"/>
        <c:varyColors val="0"/>
        <c:ser>
          <c:idx val="0"/>
          <c:order val="0"/>
          <c:tx>
            <c:strRef>
              <c:f>'Pivot Tables'!$I$4</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Tables'!$H$5:$H$15</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Tables'!$I$5:$I$15</c:f>
              <c:numCache>
                <c:formatCode>"Rs."##\.##,"L"</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2B81-4E82-BD5B-0291D2CBB6D7}"/>
            </c:ext>
          </c:extLst>
        </c:ser>
        <c:dLbls>
          <c:showLegendKey val="0"/>
          <c:showVal val="0"/>
          <c:showCatName val="0"/>
          <c:showSerName val="0"/>
          <c:showPercent val="0"/>
          <c:showBubbleSize val="0"/>
        </c:dLbls>
        <c:gapWidth val="65"/>
        <c:overlap val="-27"/>
        <c:axId val="511260863"/>
        <c:axId val="511262783"/>
      </c:barChart>
      <c:catAx>
        <c:axId val="51126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1262783"/>
        <c:crosses val="autoZero"/>
        <c:auto val="1"/>
        <c:lblAlgn val="ctr"/>
        <c:lblOffset val="100"/>
        <c:noMultiLvlLbl val="0"/>
      </c:catAx>
      <c:valAx>
        <c:axId val="511262783"/>
        <c:scaling>
          <c:orientation val="minMax"/>
        </c:scaling>
        <c:delete val="1"/>
        <c:axPos val="l"/>
        <c:numFmt formatCode="&quot;Rs.&quot;##\.##,&quot;L&quot;" sourceLinked="1"/>
        <c:majorTickMark val="out"/>
        <c:minorTickMark val="none"/>
        <c:tickLblPos val="nextTo"/>
        <c:crossAx val="51126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Tables!PivotTable4</c:name>
    <c:fmtId val="7"/>
  </c:pivotSource>
  <c:chart>
    <c:autoTitleDeleted val="1"/>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dLbl>
          <c:idx val="0"/>
          <c:layout>
            <c:manualLayout>
              <c:x val="2.7777777777777779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B49700F-6260-4B78-AF95-91E785930C03}"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316537B-8F36-43FB-96C1-FF9067C50CEF}"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5">
              <a:lumMod val="75000"/>
            </a:schemeClr>
          </a:solidFill>
          <a:ln>
            <a:noFill/>
          </a:ln>
          <a:effectLst/>
        </c:spPr>
        <c:dLbl>
          <c:idx val="0"/>
          <c:layout>
            <c:manualLayout>
              <c:x val="-2.7777777777778286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BD42D14-B5A8-42A1-B661-A2E9B51AC465}"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5">
              <a:lumMod val="75000"/>
            </a:schemeClr>
          </a:solidFill>
          <a:ln>
            <a:noFill/>
          </a:ln>
          <a:effectLst/>
        </c:spPr>
        <c:dLbl>
          <c:idx val="0"/>
          <c:layout>
            <c:manualLayout>
              <c:x val="0"/>
              <c:y val="-8.4875562720133283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D5C1C11-5A7A-41E3-8209-2F15E65E827B}"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5B621E6-068A-4C40-B5FC-0FB13B89A478}"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4406028-F39B-4737-96A6-67A37B625136}"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EAFF960-E52A-46F2-AFB6-EBCADDACEF91}"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4406028-F39B-4737-96A6-67A37B625136}"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5B621E6-068A-4C40-B5FC-0FB13B89A478}"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5">
              <a:lumMod val="75000"/>
            </a:schemeClr>
          </a:solidFill>
          <a:ln>
            <a:noFill/>
          </a:ln>
          <a:effectLst/>
        </c:spPr>
        <c:dLbl>
          <c:idx val="0"/>
          <c:layout>
            <c:manualLayout>
              <c:x val="0"/>
              <c:y val="-8.4875562720133283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D5C1C11-5A7A-41E3-8209-2F15E65E827B}"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5">
              <a:lumMod val="75000"/>
            </a:schemeClr>
          </a:solidFill>
          <a:ln>
            <a:noFill/>
          </a:ln>
          <a:effectLst/>
        </c:spPr>
        <c:dLbl>
          <c:idx val="0"/>
          <c:layout>
            <c:manualLayout>
              <c:x val="-2.7777777777778286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BD42D14-B5A8-42A1-B661-A2E9B51AC465}"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316537B-8F36-43FB-96C1-FF9067C50CEF}"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EAFF960-E52A-46F2-AFB6-EBCADDACEF91}"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5">
              <a:lumMod val="75000"/>
            </a:schemeClr>
          </a:solidFill>
          <a:ln>
            <a:noFill/>
          </a:ln>
          <a:effectLst/>
        </c:spPr>
        <c:dLbl>
          <c:idx val="0"/>
          <c:layout>
            <c:manualLayout>
              <c:x val="2.7777777777777779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B49700F-6260-4B78-AF95-91E785930C03}"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4406028-F39B-4737-96A6-67A37B625136}"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5B621E6-068A-4C40-B5FC-0FB13B89A478}"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chemeClr val="accent5">
              <a:lumMod val="75000"/>
            </a:schemeClr>
          </a:solidFill>
          <a:ln>
            <a:noFill/>
          </a:ln>
          <a:effectLst/>
        </c:spPr>
        <c:dLbl>
          <c:idx val="0"/>
          <c:layout>
            <c:manualLayout>
              <c:x val="0"/>
              <c:y val="-8.4875562720133283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D5C1C11-5A7A-41E3-8209-2F15E65E827B}"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chemeClr val="accent5">
              <a:lumMod val="75000"/>
            </a:schemeClr>
          </a:solidFill>
          <a:ln>
            <a:noFill/>
          </a:ln>
          <a:effectLst/>
        </c:spPr>
        <c:dLbl>
          <c:idx val="0"/>
          <c:layout>
            <c:manualLayout>
              <c:x val="-2.7777777777778286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BD42D14-B5A8-42A1-B661-A2E9B51AC465}"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316537B-8F36-43FB-96C1-FF9067C50CEF}"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EAFF960-E52A-46F2-AFB6-EBCADDACEF91}"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chemeClr val="accent5">
              <a:lumMod val="75000"/>
            </a:schemeClr>
          </a:solidFill>
          <a:ln>
            <a:noFill/>
          </a:ln>
          <a:effectLst/>
        </c:spPr>
        <c:dLbl>
          <c:idx val="0"/>
          <c:layout>
            <c:manualLayout>
              <c:x val="2.7777777777777779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B49700F-6260-4B78-AF95-91E785930C03}"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4406028-F39B-4737-96A6-67A37B625136}"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6"/>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5B621E6-068A-4C40-B5FC-0FB13B89A478}"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solidFill>
            <a:schemeClr val="accent5">
              <a:lumMod val="75000"/>
            </a:schemeClr>
          </a:solidFill>
          <a:ln>
            <a:noFill/>
          </a:ln>
          <a:effectLst/>
        </c:spPr>
        <c:dLbl>
          <c:idx val="0"/>
          <c:layout>
            <c:manualLayout>
              <c:x val="0"/>
              <c:y val="-8.4875562720133283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D5C1C11-5A7A-41E3-8209-2F15E65E827B}"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8"/>
        <c:spPr>
          <a:solidFill>
            <a:schemeClr val="accent5">
              <a:lumMod val="75000"/>
            </a:schemeClr>
          </a:solidFill>
          <a:ln>
            <a:noFill/>
          </a:ln>
          <a:effectLst/>
        </c:spPr>
        <c:dLbl>
          <c:idx val="0"/>
          <c:layout>
            <c:manualLayout>
              <c:x val="-2.7777777777778286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BD42D14-B5A8-42A1-B661-A2E9B51AC465}"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9"/>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316537B-8F36-43FB-96C1-FF9067C50CEF}"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0"/>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EAFF960-E52A-46F2-AFB6-EBCADDACEF91}"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1"/>
        <c:spPr>
          <a:solidFill>
            <a:schemeClr val="accent5">
              <a:lumMod val="75000"/>
            </a:schemeClr>
          </a:solidFill>
          <a:ln>
            <a:noFill/>
          </a:ln>
          <a:effectLst/>
        </c:spPr>
        <c:dLbl>
          <c:idx val="0"/>
          <c:layout>
            <c:manualLayout>
              <c:x val="2.7777777777777779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B49700F-6260-4B78-AF95-91E785930C03}"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4406028-F39B-4737-96A6-67A37B625136}" type="VALUE">
                  <a:rPr lang="en-US">
                    <a:solidFill>
                      <a:schemeClr val="tx1"/>
                    </a:solidFill>
                  </a:rPr>
                  <a:pPr>
                    <a:defRPr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4"/>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5B621E6-068A-4C40-B5FC-0FB13B89A478}" type="VALUE">
                  <a:rPr lang="en-US">
                    <a:solidFill>
                      <a:schemeClr val="tx1"/>
                    </a:solidFill>
                  </a:rPr>
                  <a:pPr>
                    <a:defRPr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5"/>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5B621E6-068A-4C40-B5FC-0FB13B89A478}" type="VALUE">
                  <a:rPr lang="en-US">
                    <a:solidFill>
                      <a:schemeClr val="tx1"/>
                    </a:solidFill>
                  </a:rPr>
                  <a:pPr>
                    <a:defRPr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6"/>
        <c:spPr>
          <a:solidFill>
            <a:schemeClr val="accent5">
              <a:lumMod val="75000"/>
            </a:schemeClr>
          </a:solidFill>
          <a:ln>
            <a:noFill/>
          </a:ln>
          <a:effectLst/>
        </c:spPr>
        <c:dLbl>
          <c:idx val="0"/>
          <c:layout>
            <c:manualLayout>
              <c:x val="-2.7777777777778286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BD42D14-B5A8-42A1-B661-A2E9B51AC465}" type="VALUE">
                  <a:rPr lang="en-US">
                    <a:solidFill>
                      <a:schemeClr val="tx1"/>
                    </a:solidFill>
                  </a:rPr>
                  <a:pPr>
                    <a:defRPr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7"/>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4406028-F39B-4737-96A6-67A37B625136}" type="VALUE">
                  <a:rPr lang="en-US">
                    <a:solidFill>
                      <a:schemeClr val="tx1"/>
                    </a:solidFill>
                  </a:rPr>
                  <a:pPr>
                    <a:defRPr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8"/>
        <c:spPr>
          <a:solidFill>
            <a:schemeClr val="accent5">
              <a:lumMod val="75000"/>
            </a:schemeClr>
          </a:solidFill>
          <a:ln>
            <a:noFill/>
          </a:ln>
          <a:effectLst/>
        </c:spPr>
        <c:dLbl>
          <c:idx val="0"/>
          <c:layout>
            <c:manualLayout>
              <c:x val="0"/>
              <c:y val="-8.4875562720133283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D5C1C11-5A7A-41E3-8209-2F15E65E827B}" type="VALUE">
                  <a:rPr lang="en-US">
                    <a:solidFill>
                      <a:schemeClr val="tx1"/>
                    </a:solidFill>
                  </a:rPr>
                  <a:pPr>
                    <a:defRPr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9"/>
        <c:spPr>
          <a:solidFill>
            <a:schemeClr val="accent5">
              <a:lumMod val="75000"/>
            </a:schemeClr>
          </a:solidFill>
          <a:ln>
            <a:noFill/>
          </a:ln>
          <a:effectLst/>
        </c:spPr>
        <c:dLbl>
          <c:idx val="0"/>
          <c:layout>
            <c:manualLayout>
              <c:x val="2.7777777777777779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B49700F-6260-4B78-AF95-91E785930C03}" type="VALUE">
                  <a:rPr lang="en-US">
                    <a:solidFill>
                      <a:schemeClr val="tx1"/>
                    </a:solidFill>
                  </a:rPr>
                  <a:pPr>
                    <a:defRPr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0908136482939632"/>
          <c:y val="0"/>
          <c:w val="0.79091863517060368"/>
          <c:h val="0.89814814814814814"/>
        </c:manualLayout>
      </c:layout>
      <c:barChart>
        <c:barDir val="bar"/>
        <c:grouping val="clustered"/>
        <c:varyColors val="0"/>
        <c:ser>
          <c:idx val="0"/>
          <c:order val="0"/>
          <c:tx>
            <c:strRef>
              <c:f>'Pivot Tables'!$F$6</c:f>
              <c:strCache>
                <c:ptCount val="1"/>
                <c:pt idx="0">
                  <c:v>Total</c:v>
                </c:pt>
              </c:strCache>
            </c:strRef>
          </c:tx>
          <c:spPr>
            <a:solidFill>
              <a:schemeClr val="accent5">
                <a:lumMod val="75000"/>
              </a:schemeClr>
            </a:solidFill>
            <a:ln>
              <a:noFill/>
            </a:ln>
            <a:effectLst/>
          </c:spPr>
          <c:invertIfNegative val="0"/>
          <c:dPt>
            <c:idx val="0"/>
            <c:invertIfNegative val="0"/>
            <c:bubble3D val="0"/>
            <c:spPr>
              <a:solidFill>
                <a:schemeClr val="accent5">
                  <a:lumMod val="75000"/>
                </a:schemeClr>
              </a:solidFill>
              <a:ln>
                <a:noFill/>
              </a:ln>
              <a:effectLst/>
            </c:spPr>
            <c:extLst>
              <c:ext xmlns:c16="http://schemas.microsoft.com/office/drawing/2014/chart" uri="{C3380CC4-5D6E-409C-BE32-E72D297353CC}">
                <c16:uniqueId val="{00000000-E942-4C72-8912-473DBBBF031E}"/>
              </c:ext>
            </c:extLst>
          </c:dPt>
          <c:dPt>
            <c:idx val="1"/>
            <c:invertIfNegative val="0"/>
            <c:bubble3D val="0"/>
            <c:extLst>
              <c:ext xmlns:c16="http://schemas.microsoft.com/office/drawing/2014/chart" uri="{C3380CC4-5D6E-409C-BE32-E72D297353CC}">
                <c16:uniqueId val="{00000001-E942-4C72-8912-473DBBBF031E}"/>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2-E942-4C72-8912-473DBBBF031E}"/>
              </c:ext>
            </c:extLst>
          </c:dPt>
          <c:dPt>
            <c:idx val="3"/>
            <c:invertIfNegative val="0"/>
            <c:bubble3D val="0"/>
            <c:extLst>
              <c:ext xmlns:c16="http://schemas.microsoft.com/office/drawing/2014/chart" uri="{C3380CC4-5D6E-409C-BE32-E72D297353CC}">
                <c16:uniqueId val="{00000003-E942-4C72-8912-473DBBBF031E}"/>
              </c:ext>
            </c:extLst>
          </c:dPt>
          <c:dPt>
            <c:idx val="4"/>
            <c:invertIfNegative val="0"/>
            <c:bubble3D val="0"/>
            <c:extLst>
              <c:ext xmlns:c16="http://schemas.microsoft.com/office/drawing/2014/chart" uri="{C3380CC4-5D6E-409C-BE32-E72D297353CC}">
                <c16:uniqueId val="{00000004-E942-4C72-8912-473DBBBF031E}"/>
              </c:ext>
            </c:extLst>
          </c:dPt>
          <c:dPt>
            <c:idx val="5"/>
            <c:invertIfNegative val="0"/>
            <c:bubble3D val="0"/>
            <c:spPr>
              <a:solidFill>
                <a:schemeClr val="accent5">
                  <a:lumMod val="75000"/>
                </a:schemeClr>
              </a:solidFill>
              <a:ln>
                <a:noFill/>
              </a:ln>
              <a:effectLst/>
            </c:spPr>
            <c:extLst>
              <c:ext xmlns:c16="http://schemas.microsoft.com/office/drawing/2014/chart" uri="{C3380CC4-5D6E-409C-BE32-E72D297353CC}">
                <c16:uniqueId val="{00000005-E942-4C72-8912-473DBBBF031E}"/>
              </c:ext>
            </c:extLst>
          </c:dPt>
          <c:dPt>
            <c:idx val="6"/>
            <c:invertIfNegative val="0"/>
            <c:bubble3D val="0"/>
            <c:extLst>
              <c:ext xmlns:c16="http://schemas.microsoft.com/office/drawing/2014/chart" uri="{C3380CC4-5D6E-409C-BE32-E72D297353CC}">
                <c16:uniqueId val="{00000006-E942-4C72-8912-473DBBBF031E}"/>
              </c:ext>
            </c:extLst>
          </c:dPt>
          <c:dLbls>
            <c:dLbl>
              <c:idx val="0"/>
              <c:tx>
                <c:rich>
                  <a:bodyPr/>
                  <a:lstStyle/>
                  <a:p>
                    <a:fld id="{34406028-F39B-4737-96A6-67A37B625136}" type="VALUE">
                      <a:rPr lang="en-US">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E942-4C72-8912-473DBBBF031E}"/>
                </c:ext>
              </c:extLst>
            </c:dLbl>
            <c:dLbl>
              <c:idx val="1"/>
              <c:tx>
                <c:rich>
                  <a:bodyPr/>
                  <a:lstStyle/>
                  <a:p>
                    <a:fld id="{75B621E6-068A-4C40-B5FC-0FB13B89A478}" type="VALUE">
                      <a:rPr lang="en-US">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942-4C72-8912-473DBBBF031E}"/>
                </c:ext>
              </c:extLst>
            </c:dLbl>
            <c:dLbl>
              <c:idx val="2"/>
              <c:tx>
                <c:rich>
                  <a:bodyPr/>
                  <a:lstStyle/>
                  <a:p>
                    <a:fld id="{75B621E6-068A-4C40-B5FC-0FB13B89A478}" type="VALUE">
                      <a:rPr lang="en-US">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942-4C72-8912-473DBBBF031E}"/>
                </c:ext>
              </c:extLst>
            </c:dLbl>
            <c:dLbl>
              <c:idx val="3"/>
              <c:layout>
                <c:manualLayout>
                  <c:x val="-2.7777777777778286E-3"/>
                  <c:y val="0"/>
                </c:manualLayout>
              </c:layout>
              <c:tx>
                <c:rich>
                  <a:bodyPr/>
                  <a:lstStyle/>
                  <a:p>
                    <a:fld id="{BBD42D14-B5A8-42A1-B661-A2E9B51AC465}" type="VALUE">
                      <a:rPr lang="en-US">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942-4C72-8912-473DBBBF031E}"/>
                </c:ext>
              </c:extLst>
            </c:dLbl>
            <c:dLbl>
              <c:idx val="4"/>
              <c:tx>
                <c:rich>
                  <a:bodyPr/>
                  <a:lstStyle/>
                  <a:p>
                    <a:fld id="{34406028-F39B-4737-96A6-67A37B625136}" type="VALUE">
                      <a:rPr lang="en-US">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E942-4C72-8912-473DBBBF031E}"/>
                </c:ext>
              </c:extLst>
            </c:dLbl>
            <c:dLbl>
              <c:idx val="5"/>
              <c:layout>
                <c:manualLayout>
                  <c:x val="0"/>
                  <c:y val="-8.4875562720133283E-17"/>
                </c:manualLayout>
              </c:layout>
              <c:tx>
                <c:rich>
                  <a:bodyPr/>
                  <a:lstStyle/>
                  <a:p>
                    <a:fld id="{7D5C1C11-5A7A-41E3-8209-2F15E65E827B}" type="VALUE">
                      <a:rPr lang="en-US">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942-4C72-8912-473DBBBF031E}"/>
                </c:ext>
              </c:extLst>
            </c:dLbl>
            <c:dLbl>
              <c:idx val="6"/>
              <c:layout>
                <c:manualLayout>
                  <c:x val="2.7777777777777779E-3"/>
                  <c:y val="0"/>
                </c:manualLayout>
              </c:layout>
              <c:tx>
                <c:rich>
                  <a:bodyPr/>
                  <a:lstStyle/>
                  <a:p>
                    <a:fld id="{EB49700F-6260-4B78-AF95-91E785930C03}" type="VALUE">
                      <a:rPr lang="en-US">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E942-4C72-8912-473DBBBF031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Tables'!$E$7:$E$14</c:f>
              <c:strCache>
                <c:ptCount val="7"/>
                <c:pt idx="0">
                  <c:v>Action Figure</c:v>
                </c:pt>
                <c:pt idx="1">
                  <c:v>Blender</c:v>
                </c:pt>
                <c:pt idx="2">
                  <c:v>Moisturizer</c:v>
                </c:pt>
                <c:pt idx="3">
                  <c:v>Novel</c:v>
                </c:pt>
                <c:pt idx="4">
                  <c:v>Smartphone</c:v>
                </c:pt>
                <c:pt idx="5">
                  <c:v>Sneakers</c:v>
                </c:pt>
                <c:pt idx="6">
                  <c:v>Tent</c:v>
                </c:pt>
              </c:strCache>
            </c:strRef>
          </c:cat>
          <c:val>
            <c:numRef>
              <c:f>'Pivot Tables'!$F$7:$F$14</c:f>
              <c:numCache>
                <c:formatCode>##\.##,"L"</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7-E942-4C72-8912-473DBBBF031E}"/>
            </c:ext>
          </c:extLst>
        </c:ser>
        <c:dLbls>
          <c:showLegendKey val="0"/>
          <c:showVal val="0"/>
          <c:showCatName val="0"/>
          <c:showSerName val="0"/>
          <c:showPercent val="0"/>
          <c:showBubbleSize val="0"/>
        </c:dLbls>
        <c:gapWidth val="56"/>
        <c:axId val="511234463"/>
        <c:axId val="511219103"/>
      </c:barChart>
      <c:catAx>
        <c:axId val="511234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1219103"/>
        <c:crosses val="autoZero"/>
        <c:auto val="1"/>
        <c:lblAlgn val="ctr"/>
        <c:lblOffset val="100"/>
        <c:noMultiLvlLbl val="0"/>
      </c:catAx>
      <c:valAx>
        <c:axId val="511219103"/>
        <c:scaling>
          <c:orientation val="minMax"/>
        </c:scaling>
        <c:delete val="1"/>
        <c:axPos val="b"/>
        <c:numFmt formatCode="##\.##,&quot;L&quot;" sourceLinked="1"/>
        <c:majorTickMark val="out"/>
        <c:minorTickMark val="none"/>
        <c:tickLblPos val="nextTo"/>
        <c:crossAx val="51123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209024403864413E-2"/>
          <c:y val="6.6006600660066E-2"/>
          <c:w val="0.91010625606035223"/>
          <c:h val="0.77321372885320028"/>
        </c:manualLayout>
      </c:layout>
      <c:barChart>
        <c:barDir val="col"/>
        <c:grouping val="clustered"/>
        <c:varyColors val="0"/>
        <c:ser>
          <c:idx val="0"/>
          <c:order val="0"/>
          <c:tx>
            <c:strRef>
              <c:f>'Pivot Tables'!$I$4</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Tables'!$H$5:$H$15</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Tables'!$I$5:$I$15</c:f>
              <c:numCache>
                <c:formatCode>"Rs."##\.##,"L"</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C095-4155-999C-C5C3C5148A5B}"/>
            </c:ext>
          </c:extLst>
        </c:ser>
        <c:dLbls>
          <c:showLegendKey val="0"/>
          <c:showVal val="0"/>
          <c:showCatName val="0"/>
          <c:showSerName val="0"/>
          <c:showPercent val="0"/>
          <c:showBubbleSize val="0"/>
        </c:dLbls>
        <c:gapWidth val="65"/>
        <c:overlap val="-27"/>
        <c:axId val="511260863"/>
        <c:axId val="511262783"/>
      </c:barChart>
      <c:catAx>
        <c:axId val="51126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1262783"/>
        <c:crosses val="autoZero"/>
        <c:auto val="1"/>
        <c:lblAlgn val="ctr"/>
        <c:lblOffset val="100"/>
        <c:noMultiLvlLbl val="0"/>
      </c:catAx>
      <c:valAx>
        <c:axId val="511262783"/>
        <c:scaling>
          <c:orientation val="minMax"/>
        </c:scaling>
        <c:delete val="1"/>
        <c:axPos val="l"/>
        <c:numFmt formatCode="&quot;Rs.&quot;##\.##,&quot;L&quot;" sourceLinked="1"/>
        <c:majorTickMark val="out"/>
        <c:minorTickMark val="none"/>
        <c:tickLblPos val="nextTo"/>
        <c:crossAx val="51126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Tables!PivotTable6</c:name>
    <c:fmtId val="1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5">
                <a:lumMod val="50000"/>
              </a:schemeClr>
            </a:solidFill>
            <a:round/>
          </a:ln>
          <a:effectLst>
            <a:outerShdw blurRad="57150" dist="19050" dir="5400000" algn="ctr" rotWithShape="0">
              <a:srgbClr val="000000">
                <a:alpha val="63000"/>
              </a:srgbClr>
            </a:outerShdw>
          </a:effectLst>
        </c:spPr>
        <c:marker>
          <c:symbol val="square"/>
          <c:size val="8"/>
          <c:spPr>
            <a:solidFill>
              <a:schemeClr val="tx1"/>
            </a:solidFill>
            <a:ln w="22225">
              <a:solidFill>
                <a:schemeClr val="accent5">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5">
                <a:lumMod val="50000"/>
              </a:schemeClr>
            </a:solidFill>
            <a:round/>
          </a:ln>
          <a:effectLst>
            <a:outerShdw blurRad="57150" dist="19050" dir="5400000" algn="ctr" rotWithShape="0">
              <a:srgbClr val="000000">
                <a:alpha val="63000"/>
              </a:srgbClr>
            </a:outerShdw>
          </a:effectLst>
        </c:spPr>
        <c:marker>
          <c:symbol val="square"/>
          <c:size val="8"/>
          <c:spPr>
            <a:solidFill>
              <a:schemeClr val="tx1"/>
            </a:solidFill>
            <a:ln w="22225">
              <a:solidFill>
                <a:schemeClr val="accent5">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lumMod val="50000"/>
              </a:schemeClr>
            </a:solidFill>
            <a:round/>
          </a:ln>
          <a:effectLst>
            <a:outerShdw blurRad="57150" dist="19050" dir="5400000" algn="ctr" rotWithShape="0">
              <a:srgbClr val="000000">
                <a:alpha val="63000"/>
              </a:srgbClr>
            </a:outerShdw>
          </a:effectLst>
        </c:spPr>
        <c:marker>
          <c:symbol val="square"/>
          <c:size val="8"/>
          <c:spPr>
            <a:solidFill>
              <a:schemeClr val="tx1"/>
            </a:solidFill>
            <a:ln w="22225">
              <a:solidFill>
                <a:schemeClr val="accent5">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38132498695879E-2"/>
          <c:y val="0"/>
          <c:w val="0.9426186750130412"/>
          <c:h val="0.87220378282311128"/>
        </c:manualLayout>
      </c:layout>
      <c:lineChart>
        <c:grouping val="standard"/>
        <c:varyColors val="0"/>
        <c:ser>
          <c:idx val="0"/>
          <c:order val="0"/>
          <c:tx>
            <c:strRef>
              <c:f>'Pivot Tables'!$L$7</c:f>
              <c:strCache>
                <c:ptCount val="1"/>
                <c:pt idx="0">
                  <c:v>Total</c:v>
                </c:pt>
              </c:strCache>
            </c:strRef>
          </c:tx>
          <c:spPr>
            <a:ln w="34925" cap="rnd">
              <a:solidFill>
                <a:schemeClr val="accent5">
                  <a:lumMod val="50000"/>
                </a:schemeClr>
              </a:solidFill>
              <a:round/>
            </a:ln>
            <a:effectLst>
              <a:outerShdw blurRad="57150" dist="19050" dir="5400000" algn="ctr" rotWithShape="0">
                <a:srgbClr val="000000">
                  <a:alpha val="63000"/>
                </a:srgbClr>
              </a:outerShdw>
            </a:effectLst>
          </c:spPr>
          <c:marker>
            <c:symbol val="square"/>
            <c:size val="8"/>
            <c:spPr>
              <a:solidFill>
                <a:schemeClr val="tx1"/>
              </a:solidFill>
              <a:ln w="22225">
                <a:solidFill>
                  <a:schemeClr val="accent5">
                    <a:lumMod val="5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Tables'!$K$8:$K$15</c:f>
              <c:strCache>
                <c:ptCount val="7"/>
                <c:pt idx="0">
                  <c:v>Action Figure</c:v>
                </c:pt>
                <c:pt idx="1">
                  <c:v>Blender</c:v>
                </c:pt>
                <c:pt idx="2">
                  <c:v>Moisturizer</c:v>
                </c:pt>
                <c:pt idx="3">
                  <c:v>Novel</c:v>
                </c:pt>
                <c:pt idx="4">
                  <c:v>Smartphone</c:v>
                </c:pt>
                <c:pt idx="5">
                  <c:v>Sneakers</c:v>
                </c:pt>
                <c:pt idx="6">
                  <c:v>Tent</c:v>
                </c:pt>
              </c:strCache>
            </c:strRef>
          </c:cat>
          <c:val>
            <c:numRef>
              <c:f>'Pivot Tables'!$L$8:$L$15</c:f>
              <c:numCache>
                <c:formatCode>_(* #,##0.00_);_(* \(#,##0.00\);_(* "-"??_);_(@_)</c:formatCode>
                <c:ptCount val="7"/>
                <c:pt idx="0">
                  <c:v>456</c:v>
                </c:pt>
                <c:pt idx="1">
                  <c:v>635</c:v>
                </c:pt>
                <c:pt idx="2">
                  <c:v>1178</c:v>
                </c:pt>
                <c:pt idx="3">
                  <c:v>898</c:v>
                </c:pt>
                <c:pt idx="4">
                  <c:v>235</c:v>
                </c:pt>
                <c:pt idx="5">
                  <c:v>799</c:v>
                </c:pt>
                <c:pt idx="6">
                  <c:v>504</c:v>
                </c:pt>
              </c:numCache>
            </c:numRef>
          </c:val>
          <c:smooth val="1"/>
          <c:extLst>
            <c:ext xmlns:c16="http://schemas.microsoft.com/office/drawing/2014/chart" uri="{C3380CC4-5D6E-409C-BE32-E72D297353CC}">
              <c16:uniqueId val="{00000000-BAF5-43CF-BD1D-05471B1BA632}"/>
            </c:ext>
          </c:extLst>
        </c:ser>
        <c:dLbls>
          <c:dLblPos val="t"/>
          <c:showLegendKey val="0"/>
          <c:showVal val="1"/>
          <c:showCatName val="0"/>
          <c:showSerName val="0"/>
          <c:showPercent val="0"/>
          <c:showBubbleSize val="0"/>
        </c:dLbls>
        <c:marker val="1"/>
        <c:smooth val="0"/>
        <c:axId val="321173375"/>
        <c:axId val="321177695"/>
      </c:lineChart>
      <c:catAx>
        <c:axId val="3211733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21177695"/>
        <c:crosses val="autoZero"/>
        <c:auto val="1"/>
        <c:lblAlgn val="ctr"/>
        <c:lblOffset val="100"/>
        <c:noMultiLvlLbl val="0"/>
      </c:catAx>
      <c:valAx>
        <c:axId val="321177695"/>
        <c:scaling>
          <c:orientation val="minMax"/>
        </c:scaling>
        <c:delete val="1"/>
        <c:axPos val="l"/>
        <c:numFmt formatCode="_(* #,##0.00_);_(* \(#,##0.00\);_(* &quot;-&quot;??_);_(@_)" sourceLinked="1"/>
        <c:majorTickMark val="none"/>
        <c:minorTickMark val="none"/>
        <c:tickLblPos val="nextTo"/>
        <c:crossAx val="32117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Dashboard.xlsx]Slicers!PivotTable8</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0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w="19050">
            <a:solidFill>
              <a:schemeClr val="lt1"/>
            </a:solidFill>
          </a:ln>
          <a:effectLst/>
        </c:spPr>
        <c:dLbl>
          <c:idx val="0"/>
          <c:layout>
            <c:manualLayout>
              <c:x val="0.13055555555555556"/>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0.12777777777777777"/>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layout>
            <c:manualLayout>
              <c:x val="-0.13055555555555559"/>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0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030A0"/>
          </a:solidFill>
          <a:ln w="19050">
            <a:solidFill>
              <a:schemeClr val="lt1"/>
            </a:solidFill>
          </a:ln>
          <a:effectLst/>
        </c:spPr>
        <c:dLbl>
          <c:idx val="0"/>
          <c:layout>
            <c:manualLayout>
              <c:x val="0.13055555555555556"/>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3055555555555559"/>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777777777777777"/>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30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030A0"/>
          </a:solidFill>
          <a:ln w="19050">
            <a:solidFill>
              <a:schemeClr val="lt1"/>
            </a:solidFill>
          </a:ln>
          <a:effectLst/>
        </c:spPr>
        <c:dLbl>
          <c:idx val="0"/>
          <c:layout>
            <c:manualLayout>
              <c:x val="0.13055555555555556"/>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3055555555555559"/>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2777777777777777"/>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30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7030A0"/>
          </a:solidFill>
          <a:ln w="19050">
            <a:solidFill>
              <a:schemeClr val="lt1"/>
            </a:solidFill>
          </a:ln>
          <a:effectLst/>
        </c:spPr>
        <c:dLbl>
          <c:idx val="0"/>
          <c:layout>
            <c:manualLayout>
              <c:x val="0.13055555555555556"/>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3055555555555559"/>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2777777777777777"/>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0.130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7030A0"/>
          </a:solidFill>
          <a:ln w="19050">
            <a:solidFill>
              <a:schemeClr val="lt1"/>
            </a:solidFill>
          </a:ln>
          <a:effectLst/>
        </c:spPr>
        <c:dLbl>
          <c:idx val="0"/>
          <c:layout>
            <c:manualLayout>
              <c:x val="0.13055555555555556"/>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0.13055555555555559"/>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0.13055555555555559"/>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Slicers!$B$3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B2-42F9-9275-03580E1187BD}"/>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3-98B2-42F9-9275-03580E1187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B2-42F9-9275-03580E1187B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8B2-42F9-9275-03580E1187BD}"/>
              </c:ext>
            </c:extLst>
          </c:dPt>
          <c:dLbls>
            <c:dLbl>
              <c:idx val="0"/>
              <c:layout>
                <c:manualLayout>
                  <c:x val="0.13055555555555556"/>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B2-42F9-9275-03580E1187BD}"/>
                </c:ext>
              </c:extLst>
            </c:dLbl>
            <c:dLbl>
              <c:idx val="1"/>
              <c:layout>
                <c:manualLayout>
                  <c:x val="0.13055555555555556"/>
                  <c:y val="-1.38888888888889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B2-42F9-9275-03580E1187BD}"/>
                </c:ext>
              </c:extLst>
            </c:dLbl>
            <c:dLbl>
              <c:idx val="2"/>
              <c:layout>
                <c:manualLayout>
                  <c:x val="-0.13055555555555559"/>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8B2-42F9-9275-03580E1187BD}"/>
                </c:ext>
              </c:extLst>
            </c:dLbl>
            <c:dLbl>
              <c:idx val="3"/>
              <c:layout>
                <c:manualLayout>
                  <c:x val="-0.13055555555555559"/>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8B2-42F9-9275-03580E1187B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Slicers!$A$4:$A$8</c:f>
              <c:strCache>
                <c:ptCount val="4"/>
                <c:pt idx="0">
                  <c:v>East</c:v>
                </c:pt>
                <c:pt idx="1">
                  <c:v>North</c:v>
                </c:pt>
                <c:pt idx="2">
                  <c:v>South</c:v>
                </c:pt>
                <c:pt idx="3">
                  <c:v>West</c:v>
                </c:pt>
              </c:strCache>
            </c:strRef>
          </c:cat>
          <c:val>
            <c:numRef>
              <c:f>Slicers!$B$4:$B$8</c:f>
              <c:numCache>
                <c:formatCode>"Rs."##\.##,"L"</c:formatCode>
                <c:ptCount val="4"/>
                <c:pt idx="0">
                  <c:v>3534400</c:v>
                </c:pt>
                <c:pt idx="1">
                  <c:v>2661400</c:v>
                </c:pt>
                <c:pt idx="2">
                  <c:v>2870600</c:v>
                </c:pt>
                <c:pt idx="3">
                  <c:v>3878100</c:v>
                </c:pt>
              </c:numCache>
            </c:numRef>
          </c:val>
          <c:extLst>
            <c:ext xmlns:c16="http://schemas.microsoft.com/office/drawing/2014/chart" uri="{C3380CC4-5D6E-409C-BE32-E72D297353CC}">
              <c16:uniqueId val="{00000008-98B2-42F9-9275-03580E1187BD}"/>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247135</xdr:colOff>
      <xdr:row>5</xdr:row>
      <xdr:rowOff>126863</xdr:rowOff>
    </xdr:from>
    <xdr:to>
      <xdr:col>7</xdr:col>
      <xdr:colOff>20594</xdr:colOff>
      <xdr:row>11</xdr:row>
      <xdr:rowOff>50663</xdr:rowOff>
    </xdr:to>
    <xdr:grpSp>
      <xdr:nvGrpSpPr>
        <xdr:cNvPr id="9" name="Group 8">
          <a:extLst>
            <a:ext uri="{FF2B5EF4-FFF2-40B4-BE49-F238E27FC236}">
              <a16:creationId xmlns:a16="http://schemas.microsoft.com/office/drawing/2014/main" id="{9E100C90-ABC0-BA33-4728-BB0F6A878A7F}"/>
            </a:ext>
          </a:extLst>
        </xdr:cNvPr>
        <xdr:cNvGrpSpPr/>
      </xdr:nvGrpSpPr>
      <xdr:grpSpPr>
        <a:xfrm>
          <a:off x="1462216" y="1053620"/>
          <a:ext cx="2811162" cy="1035908"/>
          <a:chOff x="0" y="1043940"/>
          <a:chExt cx="2819400" cy="1021080"/>
        </a:xfrm>
      </xdr:grpSpPr>
      <xdr:sp macro="" textlink="">
        <xdr:nvSpPr>
          <xdr:cNvPr id="3" name="Rectangle: Rounded Corners 2">
            <a:extLst>
              <a:ext uri="{FF2B5EF4-FFF2-40B4-BE49-F238E27FC236}">
                <a16:creationId xmlns:a16="http://schemas.microsoft.com/office/drawing/2014/main" id="{794DA96B-AE7A-4DB6-868F-9747119AA4FE}"/>
              </a:ext>
            </a:extLst>
          </xdr:cNvPr>
          <xdr:cNvSpPr/>
        </xdr:nvSpPr>
        <xdr:spPr>
          <a:xfrm>
            <a:off x="0" y="1059180"/>
            <a:ext cx="2819400" cy="9982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9F2DC51E-9E6C-308E-3EB6-FBDCEC149B20}"/>
              </a:ext>
            </a:extLst>
          </xdr:cNvPr>
          <xdr:cNvSpPr/>
        </xdr:nvSpPr>
        <xdr:spPr>
          <a:xfrm rot="16200000">
            <a:off x="-91440" y="1158240"/>
            <a:ext cx="1021080" cy="792480"/>
          </a:xfrm>
          <a:prstGeom prst="roundRect">
            <a:avLst/>
          </a:prstGeom>
          <a:solidFill>
            <a:schemeClr val="accent6">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3EA236F3-DC04-4409-1C99-D65B469B52E2}"/>
              </a:ext>
            </a:extLst>
          </xdr:cNvPr>
          <xdr:cNvSpPr txBox="1"/>
        </xdr:nvSpPr>
        <xdr:spPr>
          <a:xfrm>
            <a:off x="922020" y="1203960"/>
            <a:ext cx="15240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5">
                    <a:lumMod val="50000"/>
                  </a:schemeClr>
                </a:solidFill>
              </a:rPr>
              <a:t>TOTAL</a:t>
            </a:r>
            <a:r>
              <a:rPr lang="en-IN" sz="1200" b="1" baseline="0">
                <a:solidFill>
                  <a:schemeClr val="accent5">
                    <a:lumMod val="50000"/>
                  </a:schemeClr>
                </a:solidFill>
              </a:rPr>
              <a:t> SALES</a:t>
            </a:r>
            <a:endParaRPr lang="en-IN" sz="1200" b="1">
              <a:solidFill>
                <a:schemeClr val="accent5">
                  <a:lumMod val="50000"/>
                </a:schemeClr>
              </a:solidFill>
            </a:endParaRPr>
          </a:p>
        </xdr:txBody>
      </xdr:sp>
      <xdr:sp macro="" textlink="SalesData!K2">
        <xdr:nvSpPr>
          <xdr:cNvPr id="8" name="TextBox 7">
            <a:extLst>
              <a:ext uri="{FF2B5EF4-FFF2-40B4-BE49-F238E27FC236}">
                <a16:creationId xmlns:a16="http://schemas.microsoft.com/office/drawing/2014/main" id="{C102602B-18D5-1043-DBD7-93FF066A3159}"/>
              </a:ext>
            </a:extLst>
          </xdr:cNvPr>
          <xdr:cNvSpPr txBox="1"/>
        </xdr:nvSpPr>
        <xdr:spPr>
          <a:xfrm>
            <a:off x="876300" y="1546860"/>
            <a:ext cx="11506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055587-8F88-46CB-B441-17BD072D3AA4}" type="TxLink">
              <a:rPr lang="en-US" sz="1400" b="1" i="0" u="none" strike="noStrike">
                <a:solidFill>
                  <a:schemeClr val="accent5">
                    <a:lumMod val="50000"/>
                  </a:schemeClr>
                </a:solidFill>
                <a:latin typeface="Aptos Narrow"/>
              </a:rPr>
              <a:pPr/>
              <a:t> 1,29,44,500 </a:t>
            </a:fld>
            <a:endParaRPr lang="en-IN" sz="1400" b="1">
              <a:solidFill>
                <a:schemeClr val="accent5">
                  <a:lumMod val="50000"/>
                </a:schemeClr>
              </a:solidFill>
            </a:endParaRPr>
          </a:p>
        </xdr:txBody>
      </xdr:sp>
    </xdr:grpSp>
    <xdr:clientData/>
  </xdr:twoCellAnchor>
  <xdr:twoCellAnchor>
    <xdr:from>
      <xdr:col>6</xdr:col>
      <xdr:colOff>527016</xdr:colOff>
      <xdr:row>5</xdr:row>
      <xdr:rowOff>86086</xdr:rowOff>
    </xdr:from>
    <xdr:to>
      <xdr:col>11</xdr:col>
      <xdr:colOff>298416</xdr:colOff>
      <xdr:row>11</xdr:row>
      <xdr:rowOff>9886</xdr:rowOff>
    </xdr:to>
    <xdr:grpSp>
      <xdr:nvGrpSpPr>
        <xdr:cNvPr id="10" name="Group 9">
          <a:extLst>
            <a:ext uri="{FF2B5EF4-FFF2-40B4-BE49-F238E27FC236}">
              <a16:creationId xmlns:a16="http://schemas.microsoft.com/office/drawing/2014/main" id="{0530162E-EBF7-F30E-20FC-46423AC8D287}"/>
            </a:ext>
          </a:extLst>
        </xdr:cNvPr>
        <xdr:cNvGrpSpPr/>
      </xdr:nvGrpSpPr>
      <xdr:grpSpPr>
        <a:xfrm>
          <a:off x="4172259" y="1012843"/>
          <a:ext cx="2809103" cy="1035908"/>
          <a:chOff x="0" y="1043940"/>
          <a:chExt cx="2819400" cy="1021080"/>
        </a:xfrm>
      </xdr:grpSpPr>
      <xdr:sp macro="" textlink="">
        <xdr:nvSpPr>
          <xdr:cNvPr id="11" name="Rectangle: Rounded Corners 10">
            <a:extLst>
              <a:ext uri="{FF2B5EF4-FFF2-40B4-BE49-F238E27FC236}">
                <a16:creationId xmlns:a16="http://schemas.microsoft.com/office/drawing/2014/main" id="{565E457A-6A17-4E7E-FD61-1B5419273F3A}"/>
              </a:ext>
            </a:extLst>
          </xdr:cNvPr>
          <xdr:cNvSpPr/>
        </xdr:nvSpPr>
        <xdr:spPr>
          <a:xfrm>
            <a:off x="0" y="1059180"/>
            <a:ext cx="2819400" cy="9982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CACE02AF-102A-4DC8-1711-788B066CE772}"/>
              </a:ext>
            </a:extLst>
          </xdr:cNvPr>
          <xdr:cNvSpPr/>
        </xdr:nvSpPr>
        <xdr:spPr>
          <a:xfrm rot="16200000">
            <a:off x="-91440" y="1158240"/>
            <a:ext cx="1021080" cy="792480"/>
          </a:xfrm>
          <a:prstGeom prst="roundRect">
            <a:avLst/>
          </a:prstGeom>
          <a:solidFill>
            <a:schemeClr val="accent6">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TextBox 12">
            <a:extLst>
              <a:ext uri="{FF2B5EF4-FFF2-40B4-BE49-F238E27FC236}">
                <a16:creationId xmlns:a16="http://schemas.microsoft.com/office/drawing/2014/main" id="{CA413342-D254-405F-6E77-24B98E59B97F}"/>
              </a:ext>
            </a:extLst>
          </xdr:cNvPr>
          <xdr:cNvSpPr txBox="1"/>
        </xdr:nvSpPr>
        <xdr:spPr>
          <a:xfrm>
            <a:off x="922020" y="1203960"/>
            <a:ext cx="15240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solidFill>
                  <a:schemeClr val="accent5">
                    <a:lumMod val="50000"/>
                  </a:schemeClr>
                </a:solidFill>
              </a:rPr>
              <a:t>AVERAGE SALES</a:t>
            </a:r>
            <a:endParaRPr lang="en-IN" sz="1200" b="1">
              <a:solidFill>
                <a:schemeClr val="accent5">
                  <a:lumMod val="50000"/>
                </a:schemeClr>
              </a:solidFill>
            </a:endParaRPr>
          </a:p>
        </xdr:txBody>
      </xdr:sp>
      <xdr:sp macro="" textlink="SalesData!K10">
        <xdr:nvSpPr>
          <xdr:cNvPr id="14" name="TextBox 13">
            <a:extLst>
              <a:ext uri="{FF2B5EF4-FFF2-40B4-BE49-F238E27FC236}">
                <a16:creationId xmlns:a16="http://schemas.microsoft.com/office/drawing/2014/main" id="{F5C24529-C3B6-2C56-DC1A-737C10BADECE}"/>
              </a:ext>
            </a:extLst>
          </xdr:cNvPr>
          <xdr:cNvSpPr txBox="1"/>
        </xdr:nvSpPr>
        <xdr:spPr>
          <a:xfrm>
            <a:off x="876300" y="1546860"/>
            <a:ext cx="11506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3CB688-90D3-47A1-8325-C82CFD90D2E1}" type="TxLink">
              <a:rPr lang="en-US" sz="1400" b="1" i="0" u="none" strike="noStrike">
                <a:solidFill>
                  <a:schemeClr val="accent5">
                    <a:lumMod val="50000"/>
                  </a:schemeClr>
                </a:solidFill>
                <a:latin typeface="Aptos Narrow"/>
              </a:rPr>
              <a:pPr/>
              <a:t> 2,58,890 </a:t>
            </a:fld>
            <a:endParaRPr lang="en-IN" sz="1800" b="1">
              <a:solidFill>
                <a:schemeClr val="accent5">
                  <a:lumMod val="50000"/>
                </a:schemeClr>
              </a:solidFill>
            </a:endParaRPr>
          </a:p>
        </xdr:txBody>
      </xdr:sp>
    </xdr:grpSp>
    <xdr:clientData/>
  </xdr:twoCellAnchor>
  <xdr:twoCellAnchor>
    <xdr:from>
      <xdr:col>11</xdr:col>
      <xdr:colOff>550082</xdr:colOff>
      <xdr:row>5</xdr:row>
      <xdr:rowOff>155489</xdr:rowOff>
    </xdr:from>
    <xdr:to>
      <xdr:col>16</xdr:col>
      <xdr:colOff>321482</xdr:colOff>
      <xdr:row>11</xdr:row>
      <xdr:rowOff>79289</xdr:rowOff>
    </xdr:to>
    <xdr:grpSp>
      <xdr:nvGrpSpPr>
        <xdr:cNvPr id="15" name="Group 14">
          <a:extLst>
            <a:ext uri="{FF2B5EF4-FFF2-40B4-BE49-F238E27FC236}">
              <a16:creationId xmlns:a16="http://schemas.microsoft.com/office/drawing/2014/main" id="{2642C0E5-4698-1006-747B-F9BEFDA23D6F}"/>
            </a:ext>
          </a:extLst>
        </xdr:cNvPr>
        <xdr:cNvGrpSpPr/>
      </xdr:nvGrpSpPr>
      <xdr:grpSpPr>
        <a:xfrm>
          <a:off x="7233028" y="1082246"/>
          <a:ext cx="2809103" cy="1035908"/>
          <a:chOff x="0" y="1043940"/>
          <a:chExt cx="2819400" cy="1021080"/>
        </a:xfrm>
      </xdr:grpSpPr>
      <xdr:sp macro="" textlink="">
        <xdr:nvSpPr>
          <xdr:cNvPr id="16" name="Rectangle: Rounded Corners 15">
            <a:extLst>
              <a:ext uri="{FF2B5EF4-FFF2-40B4-BE49-F238E27FC236}">
                <a16:creationId xmlns:a16="http://schemas.microsoft.com/office/drawing/2014/main" id="{3F2B84DC-2CEE-79EA-CCF8-913A53BC1162}"/>
              </a:ext>
            </a:extLst>
          </xdr:cNvPr>
          <xdr:cNvSpPr/>
        </xdr:nvSpPr>
        <xdr:spPr>
          <a:xfrm>
            <a:off x="0" y="1059180"/>
            <a:ext cx="2819400" cy="9982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354112CE-45E9-3B25-052A-F5498A0F0F11}"/>
              </a:ext>
            </a:extLst>
          </xdr:cNvPr>
          <xdr:cNvSpPr/>
        </xdr:nvSpPr>
        <xdr:spPr>
          <a:xfrm rot="16200000">
            <a:off x="-91440" y="1158240"/>
            <a:ext cx="1021080" cy="792480"/>
          </a:xfrm>
          <a:prstGeom prst="roundRect">
            <a:avLst/>
          </a:prstGeom>
          <a:solidFill>
            <a:schemeClr val="accent6">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TextBox 17">
            <a:extLst>
              <a:ext uri="{FF2B5EF4-FFF2-40B4-BE49-F238E27FC236}">
                <a16:creationId xmlns:a16="http://schemas.microsoft.com/office/drawing/2014/main" id="{3048FEA6-56A5-8959-2D31-90DA6D345698}"/>
              </a:ext>
            </a:extLst>
          </xdr:cNvPr>
          <xdr:cNvSpPr txBox="1"/>
        </xdr:nvSpPr>
        <xdr:spPr>
          <a:xfrm>
            <a:off x="922020" y="1203960"/>
            <a:ext cx="15240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5">
                    <a:lumMod val="50000"/>
                  </a:schemeClr>
                </a:solidFill>
              </a:rPr>
              <a:t>UNITS</a:t>
            </a:r>
            <a:r>
              <a:rPr lang="en-IN" sz="1200" b="1" baseline="0">
                <a:solidFill>
                  <a:schemeClr val="accent5">
                    <a:lumMod val="50000"/>
                  </a:schemeClr>
                </a:solidFill>
              </a:rPr>
              <a:t> SOLD</a:t>
            </a:r>
            <a:endParaRPr lang="en-IN" sz="1200" b="1">
              <a:solidFill>
                <a:schemeClr val="accent5">
                  <a:lumMod val="50000"/>
                </a:schemeClr>
              </a:solidFill>
            </a:endParaRPr>
          </a:p>
        </xdr:txBody>
      </xdr:sp>
      <xdr:sp macro="" textlink="SalesData!K5">
        <xdr:nvSpPr>
          <xdr:cNvPr id="19" name="TextBox 18">
            <a:extLst>
              <a:ext uri="{FF2B5EF4-FFF2-40B4-BE49-F238E27FC236}">
                <a16:creationId xmlns:a16="http://schemas.microsoft.com/office/drawing/2014/main" id="{2FB5F0B8-87FC-0AFC-2F01-A7E3241C0C93}"/>
              </a:ext>
            </a:extLst>
          </xdr:cNvPr>
          <xdr:cNvSpPr txBox="1"/>
        </xdr:nvSpPr>
        <xdr:spPr>
          <a:xfrm>
            <a:off x="876300" y="1546860"/>
            <a:ext cx="11506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A55639-5A16-4C83-943A-4318226C2CC5}" type="TxLink">
              <a:rPr lang="en-US" sz="1400" b="1" i="0" u="none" strike="noStrike">
                <a:solidFill>
                  <a:schemeClr val="accent5">
                    <a:lumMod val="50000"/>
                  </a:schemeClr>
                </a:solidFill>
                <a:latin typeface="Aptos Narrow"/>
              </a:rPr>
              <a:pPr/>
              <a:t> 4,705 </a:t>
            </a:fld>
            <a:endParaRPr lang="en-IN" sz="1800" b="1">
              <a:solidFill>
                <a:schemeClr val="accent5">
                  <a:lumMod val="50000"/>
                </a:schemeClr>
              </a:solidFill>
            </a:endParaRPr>
          </a:p>
        </xdr:txBody>
      </xdr:sp>
    </xdr:grpSp>
    <xdr:clientData/>
  </xdr:twoCellAnchor>
  <xdr:twoCellAnchor>
    <xdr:from>
      <xdr:col>16</xdr:col>
      <xdr:colOff>562438</xdr:colOff>
      <xdr:row>5</xdr:row>
      <xdr:rowOff>160432</xdr:rowOff>
    </xdr:from>
    <xdr:to>
      <xdr:col>21</xdr:col>
      <xdr:colOff>335898</xdr:colOff>
      <xdr:row>11</xdr:row>
      <xdr:rowOff>84232</xdr:rowOff>
    </xdr:to>
    <xdr:grpSp>
      <xdr:nvGrpSpPr>
        <xdr:cNvPr id="20" name="Group 19">
          <a:extLst>
            <a:ext uri="{FF2B5EF4-FFF2-40B4-BE49-F238E27FC236}">
              <a16:creationId xmlns:a16="http://schemas.microsoft.com/office/drawing/2014/main" id="{FE738DAF-2B45-0F4E-2CDD-C515251A68AA}"/>
            </a:ext>
          </a:extLst>
        </xdr:cNvPr>
        <xdr:cNvGrpSpPr/>
      </xdr:nvGrpSpPr>
      <xdr:grpSpPr>
        <a:xfrm>
          <a:off x="10283087" y="1087189"/>
          <a:ext cx="2811162" cy="1035908"/>
          <a:chOff x="0" y="1043940"/>
          <a:chExt cx="2819400" cy="1021080"/>
        </a:xfrm>
      </xdr:grpSpPr>
      <xdr:sp macro="" textlink="">
        <xdr:nvSpPr>
          <xdr:cNvPr id="21" name="Rectangle: Rounded Corners 20">
            <a:extLst>
              <a:ext uri="{FF2B5EF4-FFF2-40B4-BE49-F238E27FC236}">
                <a16:creationId xmlns:a16="http://schemas.microsoft.com/office/drawing/2014/main" id="{81A7A18D-DC93-8CA5-4D53-2FE328AC212E}"/>
              </a:ext>
            </a:extLst>
          </xdr:cNvPr>
          <xdr:cNvSpPr/>
        </xdr:nvSpPr>
        <xdr:spPr>
          <a:xfrm>
            <a:off x="0" y="1059180"/>
            <a:ext cx="2819400" cy="9982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Rounded Corners 21">
            <a:extLst>
              <a:ext uri="{FF2B5EF4-FFF2-40B4-BE49-F238E27FC236}">
                <a16:creationId xmlns:a16="http://schemas.microsoft.com/office/drawing/2014/main" id="{0B45FA76-C7CC-FE17-FD98-E524E40FBC7A}"/>
              </a:ext>
            </a:extLst>
          </xdr:cNvPr>
          <xdr:cNvSpPr/>
        </xdr:nvSpPr>
        <xdr:spPr>
          <a:xfrm rot="16200000">
            <a:off x="-91440" y="1158240"/>
            <a:ext cx="1021080" cy="792480"/>
          </a:xfrm>
          <a:prstGeom prst="roundRect">
            <a:avLst/>
          </a:prstGeom>
          <a:solidFill>
            <a:schemeClr val="accent6">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sp macro="" textlink="">
        <xdr:nvSpPr>
          <xdr:cNvPr id="23" name="TextBox 22">
            <a:extLst>
              <a:ext uri="{FF2B5EF4-FFF2-40B4-BE49-F238E27FC236}">
                <a16:creationId xmlns:a16="http://schemas.microsoft.com/office/drawing/2014/main" id="{FBD3915D-4002-D149-759D-02DDFF6C7B7F}"/>
              </a:ext>
            </a:extLst>
          </xdr:cNvPr>
          <xdr:cNvSpPr txBox="1"/>
        </xdr:nvSpPr>
        <xdr:spPr>
          <a:xfrm>
            <a:off x="922020" y="1203960"/>
            <a:ext cx="15240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5">
                    <a:lumMod val="50000"/>
                  </a:schemeClr>
                </a:solidFill>
              </a:rPr>
              <a:t>PROFIT</a:t>
            </a:r>
          </a:p>
        </xdr:txBody>
      </xdr:sp>
      <xdr:sp macro="" textlink="SalesData!K7">
        <xdr:nvSpPr>
          <xdr:cNvPr id="24" name="TextBox 23">
            <a:extLst>
              <a:ext uri="{FF2B5EF4-FFF2-40B4-BE49-F238E27FC236}">
                <a16:creationId xmlns:a16="http://schemas.microsoft.com/office/drawing/2014/main" id="{07E58D88-8C79-EC47-AC62-2C26875E0967}"/>
              </a:ext>
            </a:extLst>
          </xdr:cNvPr>
          <xdr:cNvSpPr txBox="1"/>
        </xdr:nvSpPr>
        <xdr:spPr>
          <a:xfrm>
            <a:off x="876300" y="1546860"/>
            <a:ext cx="11506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FD2E0F-1028-44B6-BFC4-DE977FC5AEAE}" type="TxLink">
              <a:rPr lang="en-US" sz="1400" b="1" i="0" u="none" strike="noStrike">
                <a:solidFill>
                  <a:schemeClr val="accent5">
                    <a:lumMod val="50000"/>
                  </a:schemeClr>
                </a:solidFill>
                <a:latin typeface="Aptos Narrow"/>
              </a:rPr>
              <a:pPr/>
              <a:t> 38,34,400 </a:t>
            </a:fld>
            <a:endParaRPr lang="en-IN" sz="1800" b="1">
              <a:solidFill>
                <a:schemeClr val="accent5">
                  <a:lumMod val="50000"/>
                </a:schemeClr>
              </a:solidFill>
            </a:endParaRPr>
          </a:p>
        </xdr:txBody>
      </xdr:sp>
    </xdr:grpSp>
    <xdr:clientData/>
  </xdr:twoCellAnchor>
  <xdr:twoCellAnchor editAs="oneCell">
    <xdr:from>
      <xdr:col>7</xdr:col>
      <xdr:colOff>148281</xdr:colOff>
      <xdr:row>7</xdr:row>
      <xdr:rowOff>45720</xdr:rowOff>
    </xdr:from>
    <xdr:to>
      <xdr:col>7</xdr:col>
      <xdr:colOff>508281</xdr:colOff>
      <xdr:row>9</xdr:row>
      <xdr:rowOff>39960</xdr:rowOff>
    </xdr:to>
    <xdr:pic>
      <xdr:nvPicPr>
        <xdr:cNvPr id="26" name="Graphic 25" descr="Coins with solid fill">
          <a:extLst>
            <a:ext uri="{FF2B5EF4-FFF2-40B4-BE49-F238E27FC236}">
              <a16:creationId xmlns:a16="http://schemas.microsoft.com/office/drawing/2014/main" id="{26A27500-961B-1627-03DE-A6DB3C7F37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01065" y="1343179"/>
          <a:ext cx="360000" cy="364943"/>
        </a:xfrm>
        <a:prstGeom prst="rect">
          <a:avLst/>
        </a:prstGeom>
      </xdr:spPr>
    </xdr:pic>
    <xdr:clientData/>
  </xdr:twoCellAnchor>
  <xdr:twoCellAnchor editAs="oneCell">
    <xdr:from>
      <xdr:col>2</xdr:col>
      <xdr:colOff>534707</xdr:colOff>
      <xdr:row>7</xdr:row>
      <xdr:rowOff>135996</xdr:rowOff>
    </xdr:from>
    <xdr:to>
      <xdr:col>3</xdr:col>
      <xdr:colOff>285107</xdr:colOff>
      <xdr:row>9</xdr:row>
      <xdr:rowOff>130236</xdr:rowOff>
    </xdr:to>
    <xdr:pic>
      <xdr:nvPicPr>
        <xdr:cNvPr id="28" name="Graphic 27" descr="Money with solid fill">
          <a:extLst>
            <a:ext uri="{FF2B5EF4-FFF2-40B4-BE49-F238E27FC236}">
              <a16:creationId xmlns:a16="http://schemas.microsoft.com/office/drawing/2014/main" id="{72A18A61-C790-27C8-CF48-6F654ED11D3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49788" y="1433455"/>
          <a:ext cx="357941" cy="364943"/>
        </a:xfrm>
        <a:prstGeom prst="rect">
          <a:avLst/>
        </a:prstGeom>
      </xdr:spPr>
    </xdr:pic>
    <xdr:clientData/>
  </xdr:twoCellAnchor>
  <xdr:twoCellAnchor editAs="oneCell">
    <xdr:from>
      <xdr:col>12</xdr:col>
      <xdr:colOff>212474</xdr:colOff>
      <xdr:row>7</xdr:row>
      <xdr:rowOff>156868</xdr:rowOff>
    </xdr:from>
    <xdr:to>
      <xdr:col>12</xdr:col>
      <xdr:colOff>570414</xdr:colOff>
      <xdr:row>9</xdr:row>
      <xdr:rowOff>151108</xdr:rowOff>
    </xdr:to>
    <xdr:pic>
      <xdr:nvPicPr>
        <xdr:cNvPr id="30" name="Graphic 29" descr="Shopping cart with solid fill">
          <a:extLst>
            <a:ext uri="{FF2B5EF4-FFF2-40B4-BE49-F238E27FC236}">
              <a16:creationId xmlns:a16="http://schemas.microsoft.com/office/drawing/2014/main" id="{77BB99E5-5978-17D0-BF15-753B4F97A87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502960" y="1454327"/>
          <a:ext cx="357940" cy="364943"/>
        </a:xfrm>
        <a:prstGeom prst="rect">
          <a:avLst/>
        </a:prstGeom>
      </xdr:spPr>
    </xdr:pic>
    <xdr:clientData/>
  </xdr:twoCellAnchor>
  <xdr:twoCellAnchor editAs="oneCell">
    <xdr:from>
      <xdr:col>17</xdr:col>
      <xdr:colOff>245291</xdr:colOff>
      <xdr:row>7</xdr:row>
      <xdr:rowOff>125841</xdr:rowOff>
    </xdr:from>
    <xdr:to>
      <xdr:col>17</xdr:col>
      <xdr:colOff>603231</xdr:colOff>
      <xdr:row>9</xdr:row>
      <xdr:rowOff>120081</xdr:rowOff>
    </xdr:to>
    <xdr:pic>
      <xdr:nvPicPr>
        <xdr:cNvPr id="32" name="Graphic 31" descr="Upward trend with solid fill">
          <a:extLst>
            <a:ext uri="{FF2B5EF4-FFF2-40B4-BE49-F238E27FC236}">
              <a16:creationId xmlns:a16="http://schemas.microsoft.com/office/drawing/2014/main" id="{D048D7F2-4ABB-39B5-9952-69FA263C82A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573480" y="1423300"/>
          <a:ext cx="357940" cy="364943"/>
        </a:xfrm>
        <a:prstGeom prst="rect">
          <a:avLst/>
        </a:prstGeom>
      </xdr:spPr>
    </xdr:pic>
    <xdr:clientData/>
  </xdr:twoCellAnchor>
  <xdr:oneCellAnchor>
    <xdr:from>
      <xdr:col>14</xdr:col>
      <xdr:colOff>464820</xdr:colOff>
      <xdr:row>2</xdr:row>
      <xdr:rowOff>129540</xdr:rowOff>
    </xdr:from>
    <xdr:ext cx="184731" cy="264560"/>
    <xdr:sp macro="" textlink="">
      <xdr:nvSpPr>
        <xdr:cNvPr id="35" name="TextBox 34">
          <a:extLst>
            <a:ext uri="{FF2B5EF4-FFF2-40B4-BE49-F238E27FC236}">
              <a16:creationId xmlns:a16="http://schemas.microsoft.com/office/drawing/2014/main" id="{7A97547B-C5A7-C674-5463-0B31D032E016}"/>
            </a:ext>
          </a:extLst>
        </xdr:cNvPr>
        <xdr:cNvSpPr txBox="1"/>
      </xdr:nvSpPr>
      <xdr:spPr>
        <a:xfrm>
          <a:off x="8999220" y="49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51487</xdr:colOff>
      <xdr:row>0</xdr:row>
      <xdr:rowOff>10297</xdr:rowOff>
    </xdr:from>
    <xdr:to>
      <xdr:col>25</xdr:col>
      <xdr:colOff>339810</xdr:colOff>
      <xdr:row>5</xdr:row>
      <xdr:rowOff>67897</xdr:rowOff>
    </xdr:to>
    <xdr:sp macro="" textlink="">
      <xdr:nvSpPr>
        <xdr:cNvPr id="38" name="Rectangle: Rounded Corners 37">
          <a:extLst>
            <a:ext uri="{FF2B5EF4-FFF2-40B4-BE49-F238E27FC236}">
              <a16:creationId xmlns:a16="http://schemas.microsoft.com/office/drawing/2014/main" id="{7C6E5851-5B1B-E31E-47F4-F138FDBE89E7}"/>
            </a:ext>
          </a:extLst>
        </xdr:cNvPr>
        <xdr:cNvSpPr/>
      </xdr:nvSpPr>
      <xdr:spPr>
        <a:xfrm>
          <a:off x="1266568" y="10297"/>
          <a:ext cx="14261756" cy="98435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607539</xdr:colOff>
      <xdr:row>1</xdr:row>
      <xdr:rowOff>30480</xdr:rowOff>
    </xdr:from>
    <xdr:to>
      <xdr:col>18</xdr:col>
      <xdr:colOff>576647</xdr:colOff>
      <xdr:row>4</xdr:row>
      <xdr:rowOff>22860</xdr:rowOff>
    </xdr:to>
    <xdr:sp macro="" textlink="">
      <xdr:nvSpPr>
        <xdr:cNvPr id="39" name="TextBox 38">
          <a:extLst>
            <a:ext uri="{FF2B5EF4-FFF2-40B4-BE49-F238E27FC236}">
              <a16:creationId xmlns:a16="http://schemas.microsoft.com/office/drawing/2014/main" id="{5BA9C48C-28AB-6FB1-B466-7D5DCB951A5D}"/>
            </a:ext>
          </a:extLst>
        </xdr:cNvPr>
        <xdr:cNvSpPr txBox="1"/>
      </xdr:nvSpPr>
      <xdr:spPr>
        <a:xfrm>
          <a:off x="3645242" y="215831"/>
          <a:ext cx="7867135" cy="5484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100"/>
            <a:t>                                     </a:t>
          </a:r>
          <a:r>
            <a:rPr lang="en-IN" sz="3200" b="1">
              <a:solidFill>
                <a:schemeClr val="accent5">
                  <a:lumMod val="50000"/>
                </a:schemeClr>
              </a:solidFill>
            </a:rPr>
            <a:t>SALES DASHBOARD</a:t>
          </a:r>
        </a:p>
      </xdr:txBody>
    </xdr:sp>
    <xdr:clientData/>
  </xdr:twoCellAnchor>
  <xdr:twoCellAnchor editAs="oneCell">
    <xdr:from>
      <xdr:col>22</xdr:col>
      <xdr:colOff>41189</xdr:colOff>
      <xdr:row>6</xdr:row>
      <xdr:rowOff>10297</xdr:rowOff>
    </xdr:from>
    <xdr:to>
      <xdr:col>25</xdr:col>
      <xdr:colOff>41189</xdr:colOff>
      <xdr:row>10</xdr:row>
      <xdr:rowOff>132628</xdr:rowOff>
    </xdr:to>
    <mc:AlternateContent xmlns:mc="http://schemas.openxmlformats.org/markup-compatibility/2006">
      <mc:Choice xmlns:a14="http://schemas.microsoft.com/office/drawing/2010/main" Requires="a14">
        <xdr:graphicFrame macro="">
          <xdr:nvGraphicFramePr>
            <xdr:cNvPr id="46" name="Region 1">
              <a:extLst>
                <a:ext uri="{FF2B5EF4-FFF2-40B4-BE49-F238E27FC236}">
                  <a16:creationId xmlns:a16="http://schemas.microsoft.com/office/drawing/2014/main" id="{D617D675-AD4A-4BEA-A5B9-33817E233E5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3407081" y="1122405"/>
              <a:ext cx="1822622" cy="863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195648</xdr:colOff>
      <xdr:row>12</xdr:row>
      <xdr:rowOff>89999</xdr:rowOff>
    </xdr:from>
    <xdr:to>
      <xdr:col>6</xdr:col>
      <xdr:colOff>144161</xdr:colOff>
      <xdr:row>26</xdr:row>
      <xdr:rowOff>105874</xdr:rowOff>
    </xdr:to>
    <mc:AlternateContent xmlns:mc="http://schemas.openxmlformats.org/markup-compatibility/2006">
      <mc:Choice xmlns:a14="http://schemas.microsoft.com/office/drawing/2010/main" Requires="a14">
        <xdr:graphicFrame macro="">
          <xdr:nvGraphicFramePr>
            <xdr:cNvPr id="47" name="Product 1">
              <a:extLst>
                <a:ext uri="{FF2B5EF4-FFF2-40B4-BE49-F238E27FC236}">
                  <a16:creationId xmlns:a16="http://schemas.microsoft.com/office/drawing/2014/main" id="{333C730B-78A3-4E23-BD25-9704C1617C2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410729" y="2314215"/>
              <a:ext cx="2378675" cy="26107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164757</xdr:colOff>
      <xdr:row>27</xdr:row>
      <xdr:rowOff>144161</xdr:rowOff>
    </xdr:from>
    <xdr:to>
      <xdr:col>6</xdr:col>
      <xdr:colOff>102973</xdr:colOff>
      <xdr:row>48</xdr:row>
      <xdr:rowOff>20593</xdr:rowOff>
    </xdr:to>
    <mc:AlternateContent xmlns:mc="http://schemas.openxmlformats.org/markup-compatibility/2006">
      <mc:Choice xmlns:a14="http://schemas.microsoft.com/office/drawing/2010/main" Requires="a14">
        <xdr:graphicFrame macro="">
          <xdr:nvGraphicFramePr>
            <xdr:cNvPr id="48" name="Sales Person 1">
              <a:extLst>
                <a:ext uri="{FF2B5EF4-FFF2-40B4-BE49-F238E27FC236}">
                  <a16:creationId xmlns:a16="http://schemas.microsoft.com/office/drawing/2014/main" id="{93A6FD28-1BB4-4895-9572-8D46C6CA38F8}"/>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dr:sp macro="" textlink="">
          <xdr:nvSpPr>
            <xdr:cNvPr id="0" name=""/>
            <xdr:cNvSpPr>
              <a:spLocks noTextEdit="1"/>
            </xdr:cNvSpPr>
          </xdr:nvSpPr>
          <xdr:spPr>
            <a:xfrm>
              <a:off x="1379838" y="5148647"/>
              <a:ext cx="2368378" cy="37688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4531</xdr:colOff>
      <xdr:row>12</xdr:row>
      <xdr:rowOff>164756</xdr:rowOff>
    </xdr:from>
    <xdr:to>
      <xdr:col>16</xdr:col>
      <xdr:colOff>233130</xdr:colOff>
      <xdr:row>31</xdr:row>
      <xdr:rowOff>20594</xdr:rowOff>
    </xdr:to>
    <xdr:sp macro="" textlink="">
      <xdr:nvSpPr>
        <xdr:cNvPr id="49" name="Rectangle: Rounded Corners 48">
          <a:extLst>
            <a:ext uri="{FF2B5EF4-FFF2-40B4-BE49-F238E27FC236}">
              <a16:creationId xmlns:a16="http://schemas.microsoft.com/office/drawing/2014/main" id="{AF5F9372-20E9-FB75-56C1-9599A2EC0E15}"/>
            </a:ext>
          </a:extLst>
        </xdr:cNvPr>
        <xdr:cNvSpPr/>
      </xdr:nvSpPr>
      <xdr:spPr>
        <a:xfrm>
          <a:off x="4257315" y="2388972"/>
          <a:ext cx="5696464" cy="337751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5">
                  <a:lumMod val="50000"/>
                </a:schemeClr>
              </a:solidFill>
            </a:rPr>
            <a:t>Unit</a:t>
          </a:r>
          <a:r>
            <a:rPr lang="en-IN" sz="1400" b="1" baseline="0">
              <a:solidFill>
                <a:schemeClr val="accent5">
                  <a:lumMod val="50000"/>
                </a:schemeClr>
              </a:solidFill>
            </a:rPr>
            <a:t> Sold by Product</a:t>
          </a:r>
          <a:endParaRPr lang="en-IN" sz="1400" b="1">
            <a:solidFill>
              <a:schemeClr val="accent5">
                <a:lumMod val="50000"/>
              </a:schemeClr>
            </a:solidFill>
          </a:endParaRPr>
        </a:p>
      </xdr:txBody>
    </xdr:sp>
    <xdr:clientData/>
  </xdr:twoCellAnchor>
  <xdr:twoCellAnchor>
    <xdr:from>
      <xdr:col>7</xdr:col>
      <xdr:colOff>390885</xdr:colOff>
      <xdr:row>15</xdr:row>
      <xdr:rowOff>102973</xdr:rowOff>
    </xdr:from>
    <xdr:to>
      <xdr:col>15</xdr:col>
      <xdr:colOff>497565</xdr:colOff>
      <xdr:row>28</xdr:row>
      <xdr:rowOff>133042</xdr:rowOff>
    </xdr:to>
    <xdr:graphicFrame macro="">
      <xdr:nvGraphicFramePr>
        <xdr:cNvPr id="50" name="Chart 49">
          <a:extLst>
            <a:ext uri="{FF2B5EF4-FFF2-40B4-BE49-F238E27FC236}">
              <a16:creationId xmlns:a16="http://schemas.microsoft.com/office/drawing/2014/main" id="{59AA7680-5B99-43A0-9AEA-AD0786D9C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476764</xdr:colOff>
      <xdr:row>12</xdr:row>
      <xdr:rowOff>72080</xdr:rowOff>
    </xdr:from>
    <xdr:to>
      <xdr:col>26</xdr:col>
      <xdr:colOff>324365</xdr:colOff>
      <xdr:row>30</xdr:row>
      <xdr:rowOff>113268</xdr:rowOff>
    </xdr:to>
    <xdr:sp macro="" textlink="">
      <xdr:nvSpPr>
        <xdr:cNvPr id="51" name="Rectangle: Rounded Corners 50">
          <a:extLst>
            <a:ext uri="{FF2B5EF4-FFF2-40B4-BE49-F238E27FC236}">
              <a16:creationId xmlns:a16="http://schemas.microsoft.com/office/drawing/2014/main" id="{5D85ED69-C712-5C0C-9A06-BE72E01ED168}"/>
            </a:ext>
          </a:extLst>
        </xdr:cNvPr>
        <xdr:cNvSpPr/>
      </xdr:nvSpPr>
      <xdr:spPr>
        <a:xfrm>
          <a:off x="10197413" y="2296296"/>
          <a:ext cx="5923006" cy="337751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5">
                  <a:lumMod val="50000"/>
                </a:schemeClr>
              </a:solidFill>
            </a:rPr>
            <a:t>Total Sales by</a:t>
          </a:r>
          <a:r>
            <a:rPr lang="en-IN" sz="1400" b="1" baseline="0">
              <a:solidFill>
                <a:schemeClr val="accent5">
                  <a:lumMod val="50000"/>
                </a:schemeClr>
              </a:solidFill>
            </a:rPr>
            <a:t> Region</a:t>
          </a:r>
          <a:endParaRPr lang="en-IN" sz="1400" b="1">
            <a:solidFill>
              <a:schemeClr val="accent5">
                <a:lumMod val="50000"/>
              </a:schemeClr>
            </a:solidFill>
          </a:endParaRPr>
        </a:p>
      </xdr:txBody>
    </xdr:sp>
    <xdr:clientData/>
  </xdr:twoCellAnchor>
  <xdr:twoCellAnchor>
    <xdr:from>
      <xdr:col>7</xdr:col>
      <xdr:colOff>44071</xdr:colOff>
      <xdr:row>32</xdr:row>
      <xdr:rowOff>10298</xdr:rowOff>
    </xdr:from>
    <xdr:to>
      <xdr:col>16</xdr:col>
      <xdr:colOff>380999</xdr:colOff>
      <xdr:row>48</xdr:row>
      <xdr:rowOff>164756</xdr:rowOff>
    </xdr:to>
    <xdr:sp macro="" textlink="">
      <xdr:nvSpPr>
        <xdr:cNvPr id="52" name="Rectangle: Rounded Corners 51">
          <a:extLst>
            <a:ext uri="{FF2B5EF4-FFF2-40B4-BE49-F238E27FC236}">
              <a16:creationId xmlns:a16="http://schemas.microsoft.com/office/drawing/2014/main" id="{5DE1E044-19D8-CEB0-49C2-06BC02119422}"/>
            </a:ext>
          </a:extLst>
        </xdr:cNvPr>
        <xdr:cNvSpPr/>
      </xdr:nvSpPr>
      <xdr:spPr>
        <a:xfrm>
          <a:off x="4296855" y="5941541"/>
          <a:ext cx="5804793" cy="31200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5">
                  <a:lumMod val="50000"/>
                </a:schemeClr>
              </a:solidFill>
            </a:rPr>
            <a:t>Total Sales by Produuct</a:t>
          </a:r>
        </a:p>
      </xdr:txBody>
    </xdr:sp>
    <xdr:clientData/>
  </xdr:twoCellAnchor>
  <xdr:twoCellAnchor>
    <xdr:from>
      <xdr:col>16</xdr:col>
      <xdr:colOff>535048</xdr:colOff>
      <xdr:row>31</xdr:row>
      <xdr:rowOff>26567</xdr:rowOff>
    </xdr:from>
    <xdr:to>
      <xdr:col>26</xdr:col>
      <xdr:colOff>413129</xdr:colOff>
      <xdr:row>48</xdr:row>
      <xdr:rowOff>135719</xdr:rowOff>
    </xdr:to>
    <xdr:sp macro="" textlink="">
      <xdr:nvSpPr>
        <xdr:cNvPr id="53" name="Rectangle: Rounded Corners 52">
          <a:extLst>
            <a:ext uri="{FF2B5EF4-FFF2-40B4-BE49-F238E27FC236}">
              <a16:creationId xmlns:a16="http://schemas.microsoft.com/office/drawing/2014/main" id="{A7375D46-9B5A-238F-BB64-FE0D0F24B57A}"/>
            </a:ext>
          </a:extLst>
        </xdr:cNvPr>
        <xdr:cNvSpPr/>
      </xdr:nvSpPr>
      <xdr:spPr>
        <a:xfrm>
          <a:off x="10255697" y="5772459"/>
          <a:ext cx="5953486" cy="32601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5">
                  <a:lumMod val="50000"/>
                </a:schemeClr>
              </a:solidFill>
            </a:rPr>
            <a:t> Total Sales by Sales Person</a:t>
          </a:r>
        </a:p>
      </xdr:txBody>
    </xdr:sp>
    <xdr:clientData/>
  </xdr:twoCellAnchor>
  <xdr:twoCellAnchor>
    <xdr:from>
      <xdr:col>17</xdr:col>
      <xdr:colOff>586945</xdr:colOff>
      <xdr:row>15</xdr:row>
      <xdr:rowOff>30892</xdr:rowOff>
    </xdr:from>
    <xdr:to>
      <xdr:col>24</xdr:col>
      <xdr:colOff>348460</xdr:colOff>
      <xdr:row>27</xdr:row>
      <xdr:rowOff>172377</xdr:rowOff>
    </xdr:to>
    <xdr:graphicFrame macro="">
      <xdr:nvGraphicFramePr>
        <xdr:cNvPr id="54" name="Chart 53">
          <a:extLst>
            <a:ext uri="{FF2B5EF4-FFF2-40B4-BE49-F238E27FC236}">
              <a16:creationId xmlns:a16="http://schemas.microsoft.com/office/drawing/2014/main" id="{FEFD4A1E-85C7-4D97-A195-53BB76955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401593</xdr:colOff>
      <xdr:row>34</xdr:row>
      <xdr:rowOff>144162</xdr:rowOff>
    </xdr:from>
    <xdr:to>
      <xdr:col>15</xdr:col>
      <xdr:colOff>483972</xdr:colOff>
      <xdr:row>46</xdr:row>
      <xdr:rowOff>175261</xdr:rowOff>
    </xdr:to>
    <xdr:graphicFrame macro="">
      <xdr:nvGraphicFramePr>
        <xdr:cNvPr id="55" name="Chart 54">
          <a:extLst>
            <a:ext uri="{FF2B5EF4-FFF2-40B4-BE49-F238E27FC236}">
              <a16:creationId xmlns:a16="http://schemas.microsoft.com/office/drawing/2014/main" id="{4316C028-7F6E-40F2-95DB-9B520FE8CD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63844</xdr:colOff>
      <xdr:row>33</xdr:row>
      <xdr:rowOff>123566</xdr:rowOff>
    </xdr:from>
    <xdr:to>
      <xdr:col>25</xdr:col>
      <xdr:colOff>330543</xdr:colOff>
      <xdr:row>46</xdr:row>
      <xdr:rowOff>49838</xdr:rowOff>
    </xdr:to>
    <xdr:graphicFrame macro="">
      <xdr:nvGraphicFramePr>
        <xdr:cNvPr id="56" name="Chart 55">
          <a:extLst>
            <a:ext uri="{FF2B5EF4-FFF2-40B4-BE49-F238E27FC236}">
              <a16:creationId xmlns:a16="http://schemas.microsoft.com/office/drawing/2014/main" id="{38934A19-81D8-42AA-A634-A0F8A4166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76200</xdr:colOff>
      <xdr:row>1</xdr:row>
      <xdr:rowOff>38100</xdr:rowOff>
    </xdr:from>
    <xdr:to>
      <xdr:col>18</xdr:col>
      <xdr:colOff>571500</xdr:colOff>
      <xdr:row>16</xdr:row>
      <xdr:rowOff>45720</xdr:rowOff>
    </xdr:to>
    <xdr:graphicFrame macro="">
      <xdr:nvGraphicFramePr>
        <xdr:cNvPr id="4" name="Chart 3">
          <a:extLst>
            <a:ext uri="{FF2B5EF4-FFF2-40B4-BE49-F238E27FC236}">
              <a16:creationId xmlns:a16="http://schemas.microsoft.com/office/drawing/2014/main" id="{A440AFCB-7E05-400E-B7B7-37BAE022B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18</xdr:row>
      <xdr:rowOff>129540</xdr:rowOff>
    </xdr:from>
    <xdr:to>
      <xdr:col>8</xdr:col>
      <xdr:colOff>480060</xdr:colOff>
      <xdr:row>38</xdr:row>
      <xdr:rowOff>152400</xdr:rowOff>
    </xdr:to>
    <xdr:graphicFrame macro="">
      <xdr:nvGraphicFramePr>
        <xdr:cNvPr id="5" name="Chart 4">
          <a:extLst>
            <a:ext uri="{FF2B5EF4-FFF2-40B4-BE49-F238E27FC236}">
              <a16:creationId xmlns:a16="http://schemas.microsoft.com/office/drawing/2014/main" id="{91AA978E-8FBD-4CD5-B999-AF9B99DEF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137160</xdr:colOff>
      <xdr:row>18</xdr:row>
      <xdr:rowOff>60960</xdr:rowOff>
    </xdr:from>
    <xdr:to>
      <xdr:col>18</xdr:col>
      <xdr:colOff>533400</xdr:colOff>
      <xdr:row>38</xdr:row>
      <xdr:rowOff>129540</xdr:rowOff>
    </xdr:to>
    <xdr:graphicFrame macro="">
      <xdr:nvGraphicFramePr>
        <xdr:cNvPr id="6" name="Chart 5">
          <a:extLst>
            <a:ext uri="{FF2B5EF4-FFF2-40B4-BE49-F238E27FC236}">
              <a16:creationId xmlns:a16="http://schemas.microsoft.com/office/drawing/2014/main" id="{4D0E5B12-0D9E-4D3A-8B06-2F99F3FAF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426720</xdr:colOff>
      <xdr:row>2</xdr:row>
      <xdr:rowOff>22860</xdr:rowOff>
    </xdr:from>
    <xdr:to>
      <xdr:col>9</xdr:col>
      <xdr:colOff>83820</xdr:colOff>
      <xdr:row>17</xdr:row>
      <xdr:rowOff>133659</xdr:rowOff>
    </xdr:to>
    <xdr:graphicFrame macro="">
      <xdr:nvGraphicFramePr>
        <xdr:cNvPr id="3" name="Chart 2">
          <a:extLst>
            <a:ext uri="{FF2B5EF4-FFF2-40B4-BE49-F238E27FC236}">
              <a16:creationId xmlns:a16="http://schemas.microsoft.com/office/drawing/2014/main" id="{3A825CAE-D7AE-42A3-9761-1ABE59CBD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137160</xdr:colOff>
      <xdr:row>7</xdr:row>
      <xdr:rowOff>7620</xdr:rowOff>
    </xdr:from>
    <xdr:to>
      <xdr:col>16</xdr:col>
      <xdr:colOff>137160</xdr:colOff>
      <xdr:row>21</xdr:row>
      <xdr:rowOff>15875</xdr:rowOff>
    </xdr:to>
    <mc:AlternateContent xmlns:mc="http://schemas.openxmlformats.org/markup-compatibility/2006" xmlns:a14="http://schemas.microsoft.com/office/drawing/2010/main">
      <mc:Choice Requires="a14">
        <xdr:graphicFrame macro="">
          <xdr:nvGraphicFramePr>
            <xdr:cNvPr id="3" name="Sales Person">
              <a:extLst>
                <a:ext uri="{FF2B5EF4-FFF2-40B4-BE49-F238E27FC236}">
                  <a16:creationId xmlns:a16="http://schemas.microsoft.com/office/drawing/2014/main" id="{4C587EDA-4EC3-83ED-150C-4408B2540ADE}"/>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8831580" y="1287780"/>
              <a:ext cx="1828800" cy="2568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472440</xdr:colOff>
      <xdr:row>10</xdr:row>
      <xdr:rowOff>99061</xdr:rowOff>
    </xdr:from>
    <xdr:to>
      <xdr:col>7</xdr:col>
      <xdr:colOff>472440</xdr:colOff>
      <xdr:row>15</xdr:row>
      <xdr:rowOff>7620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DF937F1F-FA63-78FA-9510-2EAB2A201C5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680460" y="1927861"/>
              <a:ext cx="1828800" cy="822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480060</xdr:colOff>
      <xdr:row>7</xdr:row>
      <xdr:rowOff>91440</xdr:rowOff>
    </xdr:from>
    <xdr:to>
      <xdr:col>11</xdr:col>
      <xdr:colOff>480060</xdr:colOff>
      <xdr:row>20</xdr:row>
      <xdr:rowOff>114935</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4EF4FCA3-560C-4EB9-A787-0EB4C39C1AD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126480" y="1371600"/>
              <a:ext cx="1828800" cy="2400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gagayathri R" refreshedDate="46033.778506712966" createdVersion="8" refreshedVersion="8" minRefreshableVersion="3" recordCount="50" xr:uid="{A699C55E-C53C-4F59-AAC9-19C81C068E5A}">
  <cacheSource type="worksheet">
    <worksheetSource name="Table1"/>
  </cacheSource>
  <cacheFields count="9">
    <cacheField name="Date" numFmtId="14">
      <sharedItems containsSemiMixedTypes="0" containsNonDate="0" containsDate="1" containsString="0" minDate="2020-05-07T00:00:00" maxDate="2021-12-22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acheField>
    <cacheField name="Unit Price" numFmtId="164">
      <sharedItems containsSemiMixedTypes="0" containsString="0" containsNumber="1" containsInteger="1" minValue="600" maxValue="10000"/>
    </cacheField>
    <cacheField name="Cost of Goods" numFmtId="164">
      <sharedItems containsSemiMixedTypes="0" containsString="0" containsNumber="1" containsInteger="1" minValue="400" maxValue="7000"/>
    </cacheField>
    <cacheField name="Total Sales" numFmtId="164">
      <sharedItems containsSemiMixedTypes="0" containsString="0" containsNumber="1" containsInteger="1" minValue="34200" maxValue="1270000"/>
    </cacheField>
    <cacheField name="Profit" numFmtId="164">
      <sharedItems containsSemiMixedTypes="0" containsString="0" containsNumber="1" containsInteger="1" minValue="11400" maxValue="381000"/>
    </cacheField>
  </cacheFields>
  <extLst>
    <ext xmlns:x14="http://schemas.microsoft.com/office/spreadsheetml/2009/9/main" uri="{725AE2AE-9491-48be-B2B4-4EB974FC3084}">
      <x14:pivotCacheDefinition pivotCacheId="281007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1-02-19T00:00:00"/>
    <x v="0"/>
    <x v="0"/>
    <x v="0"/>
    <n v="84"/>
    <n v="6000"/>
    <n v="4000"/>
    <n v="504000"/>
    <n v="168000"/>
  </r>
  <r>
    <d v="2021-09-07T00:00:00"/>
    <x v="1"/>
    <x v="1"/>
    <x v="1"/>
    <n v="128"/>
    <n v="3500"/>
    <n v="2500"/>
    <n v="448000"/>
    <n v="128000"/>
  </r>
  <r>
    <d v="2021-02-03T00:00:00"/>
    <x v="2"/>
    <x v="2"/>
    <x v="2"/>
    <n v="136"/>
    <n v="1200"/>
    <n v="800"/>
    <n v="163200"/>
    <n v="54400"/>
  </r>
  <r>
    <d v="2020-09-11T00:00:00"/>
    <x v="3"/>
    <x v="3"/>
    <x v="3"/>
    <n v="91"/>
    <n v="1000"/>
    <n v="700"/>
    <n v="91000"/>
    <n v="27300"/>
  </r>
  <r>
    <d v="2021-09-23T00:00:00"/>
    <x v="4"/>
    <x v="0"/>
    <x v="4"/>
    <n v="110"/>
    <n v="4000"/>
    <n v="3000"/>
    <n v="440000"/>
    <n v="110000"/>
  </r>
  <r>
    <d v="2020-10-01T00:00:00"/>
    <x v="5"/>
    <x v="1"/>
    <x v="2"/>
    <n v="51"/>
    <n v="1200"/>
    <n v="800"/>
    <n v="61200"/>
    <n v="20400"/>
  </r>
  <r>
    <d v="2021-08-05T00:00:00"/>
    <x v="6"/>
    <x v="3"/>
    <x v="3"/>
    <n v="78"/>
    <n v="1000"/>
    <n v="700"/>
    <n v="78000"/>
    <n v="23400"/>
  </r>
  <r>
    <d v="2020-11-06T00:00:00"/>
    <x v="7"/>
    <x v="2"/>
    <x v="0"/>
    <n v="146"/>
    <n v="6000"/>
    <n v="4000"/>
    <n v="876000"/>
    <n v="292000"/>
  </r>
  <r>
    <d v="2021-01-27T00:00:00"/>
    <x v="8"/>
    <x v="0"/>
    <x v="5"/>
    <n v="101"/>
    <n v="600"/>
    <n v="400"/>
    <n v="60600"/>
    <n v="20200"/>
  </r>
  <r>
    <d v="2021-09-03T00:00:00"/>
    <x v="9"/>
    <x v="2"/>
    <x v="0"/>
    <n v="52"/>
    <n v="6000"/>
    <n v="4000"/>
    <n v="312000"/>
    <n v="104000"/>
  </r>
  <r>
    <d v="2021-09-30T00:00:00"/>
    <x v="9"/>
    <x v="1"/>
    <x v="2"/>
    <n v="55"/>
    <n v="1200"/>
    <n v="800"/>
    <n v="66000"/>
    <n v="22000"/>
  </r>
  <r>
    <d v="2020-09-10T00:00:00"/>
    <x v="9"/>
    <x v="2"/>
    <x v="3"/>
    <n v="137"/>
    <n v="1000"/>
    <n v="700"/>
    <n v="137000"/>
    <n v="41100"/>
  </r>
  <r>
    <d v="2021-07-27T00:00:00"/>
    <x v="7"/>
    <x v="2"/>
    <x v="1"/>
    <n v="96"/>
    <n v="3500"/>
    <n v="2500"/>
    <n v="336000"/>
    <n v="96000"/>
  </r>
  <r>
    <d v="2020-10-09T00:00:00"/>
    <x v="8"/>
    <x v="1"/>
    <x v="4"/>
    <n v="52"/>
    <n v="4000"/>
    <n v="3000"/>
    <n v="208000"/>
    <n v="52000"/>
  </r>
  <r>
    <d v="2021-04-06T00:00:00"/>
    <x v="3"/>
    <x v="0"/>
    <x v="1"/>
    <n v="76"/>
    <n v="3500"/>
    <n v="2500"/>
    <n v="266000"/>
    <n v="76000"/>
  </r>
  <r>
    <d v="2021-06-15T00:00:00"/>
    <x v="1"/>
    <x v="3"/>
    <x v="4"/>
    <n v="145"/>
    <n v="4000"/>
    <n v="3000"/>
    <n v="580000"/>
    <n v="145000"/>
  </r>
  <r>
    <d v="2020-09-09T00:00:00"/>
    <x v="0"/>
    <x v="2"/>
    <x v="5"/>
    <n v="83"/>
    <n v="600"/>
    <n v="400"/>
    <n v="49800"/>
    <n v="16600"/>
  </r>
  <r>
    <d v="2021-08-13T00:00:00"/>
    <x v="4"/>
    <x v="2"/>
    <x v="3"/>
    <n v="91"/>
    <n v="1000"/>
    <n v="700"/>
    <n v="91000"/>
    <n v="27300"/>
  </r>
  <r>
    <d v="2020-08-27T00:00:00"/>
    <x v="5"/>
    <x v="0"/>
    <x v="6"/>
    <n v="108"/>
    <n v="10000"/>
    <n v="7000"/>
    <n v="1080000"/>
    <n v="324000"/>
  </r>
  <r>
    <d v="2021-04-07T00:00:00"/>
    <x v="2"/>
    <x v="3"/>
    <x v="4"/>
    <n v="144"/>
    <n v="4000"/>
    <n v="3000"/>
    <n v="576000"/>
    <n v="144000"/>
  </r>
  <r>
    <d v="2020-06-08T00:00:00"/>
    <x v="4"/>
    <x v="2"/>
    <x v="5"/>
    <n v="92"/>
    <n v="600"/>
    <n v="400"/>
    <n v="55200"/>
    <n v="18400"/>
  </r>
  <r>
    <d v="2021-12-21T00:00:00"/>
    <x v="7"/>
    <x v="0"/>
    <x v="0"/>
    <n v="71"/>
    <n v="6000"/>
    <n v="4000"/>
    <n v="426000"/>
    <n v="142000"/>
  </r>
  <r>
    <d v="2021-08-10T00:00:00"/>
    <x v="0"/>
    <x v="1"/>
    <x v="5"/>
    <n v="103"/>
    <n v="600"/>
    <n v="400"/>
    <n v="61800"/>
    <n v="20600"/>
  </r>
  <r>
    <d v="2021-12-02T00:00:00"/>
    <x v="9"/>
    <x v="3"/>
    <x v="3"/>
    <n v="55"/>
    <n v="1000"/>
    <n v="700"/>
    <n v="55000"/>
    <n v="16500"/>
  </r>
  <r>
    <d v="2021-08-30T00:00:00"/>
    <x v="5"/>
    <x v="1"/>
    <x v="4"/>
    <n v="93"/>
    <n v="4000"/>
    <n v="3000"/>
    <n v="372000"/>
    <n v="93000"/>
  </r>
  <r>
    <d v="2020-05-20T00:00:00"/>
    <x v="2"/>
    <x v="2"/>
    <x v="5"/>
    <n v="143"/>
    <n v="600"/>
    <n v="400"/>
    <n v="85800"/>
    <n v="28600"/>
  </r>
  <r>
    <d v="2021-09-13T00:00:00"/>
    <x v="6"/>
    <x v="0"/>
    <x v="1"/>
    <n v="143"/>
    <n v="3500"/>
    <n v="2500"/>
    <n v="500500"/>
    <n v="143000"/>
  </r>
  <r>
    <d v="2021-10-27T00:00:00"/>
    <x v="8"/>
    <x v="3"/>
    <x v="5"/>
    <n v="99"/>
    <n v="600"/>
    <n v="400"/>
    <n v="59400"/>
    <n v="19800"/>
  </r>
  <r>
    <d v="2020-12-22T00:00:00"/>
    <x v="3"/>
    <x v="0"/>
    <x v="3"/>
    <n v="120"/>
    <n v="1000"/>
    <n v="700"/>
    <n v="120000"/>
    <n v="36000"/>
  </r>
  <r>
    <d v="2021-07-28T00:00:00"/>
    <x v="1"/>
    <x v="2"/>
    <x v="1"/>
    <n v="66"/>
    <n v="3500"/>
    <n v="2500"/>
    <n v="231000"/>
    <n v="66000"/>
  </r>
  <r>
    <d v="2020-09-29T00:00:00"/>
    <x v="8"/>
    <x v="3"/>
    <x v="2"/>
    <n v="88"/>
    <n v="1200"/>
    <n v="800"/>
    <n v="105600"/>
    <n v="35200"/>
  </r>
  <r>
    <d v="2020-10-22T00:00:00"/>
    <x v="3"/>
    <x v="1"/>
    <x v="6"/>
    <n v="127"/>
    <n v="10000"/>
    <n v="7000"/>
    <n v="1270000"/>
    <n v="381000"/>
  </r>
  <r>
    <d v="2020-05-19T00:00:00"/>
    <x v="4"/>
    <x v="0"/>
    <x v="4"/>
    <n v="67"/>
    <n v="4000"/>
    <n v="3000"/>
    <n v="268000"/>
    <n v="67000"/>
  </r>
  <r>
    <d v="2021-12-06T00:00:00"/>
    <x v="1"/>
    <x v="1"/>
    <x v="2"/>
    <n v="67"/>
    <n v="1200"/>
    <n v="800"/>
    <n v="80400"/>
    <n v="26800"/>
  </r>
  <r>
    <d v="2020-08-26T00:00:00"/>
    <x v="9"/>
    <x v="2"/>
    <x v="3"/>
    <n v="149"/>
    <n v="1000"/>
    <n v="700"/>
    <n v="149000"/>
    <n v="44700"/>
  </r>
  <r>
    <d v="2021-07-01T00:00:00"/>
    <x v="4"/>
    <x v="3"/>
    <x v="5"/>
    <n v="104"/>
    <n v="600"/>
    <n v="400"/>
    <n v="62400"/>
    <n v="20800"/>
  </r>
  <r>
    <d v="2021-07-27T00:00:00"/>
    <x v="7"/>
    <x v="0"/>
    <x v="5"/>
    <n v="57"/>
    <n v="600"/>
    <n v="400"/>
    <n v="34200"/>
    <n v="11400"/>
  </r>
  <r>
    <d v="2020-10-05T00:00:00"/>
    <x v="2"/>
    <x v="1"/>
    <x v="5"/>
    <n v="90"/>
    <n v="600"/>
    <n v="400"/>
    <n v="54000"/>
    <n v="18000"/>
  </r>
  <r>
    <d v="2020-09-02T00:00:00"/>
    <x v="5"/>
    <x v="2"/>
    <x v="5"/>
    <n v="67"/>
    <n v="600"/>
    <n v="400"/>
    <n v="40200"/>
    <n v="13400"/>
  </r>
  <r>
    <d v="2021-09-02T00:00:00"/>
    <x v="0"/>
    <x v="3"/>
    <x v="4"/>
    <n v="127"/>
    <n v="4000"/>
    <n v="3000"/>
    <n v="508000"/>
    <n v="127000"/>
  </r>
  <r>
    <d v="2021-04-13T00:00:00"/>
    <x v="5"/>
    <x v="0"/>
    <x v="3"/>
    <n v="108"/>
    <n v="1000"/>
    <n v="700"/>
    <n v="108000"/>
    <n v="32400"/>
  </r>
  <r>
    <d v="2021-05-06T00:00:00"/>
    <x v="2"/>
    <x v="1"/>
    <x v="1"/>
    <n v="66"/>
    <n v="3500"/>
    <n v="2500"/>
    <n v="231000"/>
    <n v="66000"/>
  </r>
  <r>
    <d v="2021-01-15T00:00:00"/>
    <x v="0"/>
    <x v="3"/>
    <x v="0"/>
    <n v="78"/>
    <n v="6000"/>
    <n v="4000"/>
    <n v="468000"/>
    <n v="156000"/>
  </r>
  <r>
    <d v="2020-08-27T00:00:00"/>
    <x v="7"/>
    <x v="2"/>
    <x v="3"/>
    <n v="69"/>
    <n v="1000"/>
    <n v="700"/>
    <n v="69000"/>
    <n v="20700"/>
  </r>
  <r>
    <d v="2021-02-05T00:00:00"/>
    <x v="4"/>
    <x v="0"/>
    <x v="2"/>
    <n v="59"/>
    <n v="1200"/>
    <n v="800"/>
    <n v="70800"/>
    <n v="23600"/>
  </r>
  <r>
    <d v="2021-11-17T00:00:00"/>
    <x v="9"/>
    <x v="2"/>
    <x v="5"/>
    <n v="109"/>
    <n v="600"/>
    <n v="400"/>
    <n v="65400"/>
    <n v="21800"/>
  </r>
  <r>
    <d v="2020-12-28T00:00:00"/>
    <x v="8"/>
    <x v="1"/>
    <x v="4"/>
    <n v="61"/>
    <n v="4000"/>
    <n v="3000"/>
    <n v="244000"/>
    <n v="61000"/>
  </r>
  <r>
    <d v="2021-10-27T00:00:00"/>
    <x v="4"/>
    <x v="3"/>
    <x v="5"/>
    <n v="130"/>
    <n v="600"/>
    <n v="400"/>
    <n v="78000"/>
    <n v="26000"/>
  </r>
  <r>
    <d v="2021-11-02T00:00:00"/>
    <x v="3"/>
    <x v="2"/>
    <x v="1"/>
    <n v="60"/>
    <n v="3500"/>
    <n v="2500"/>
    <n v="210000"/>
    <n v="60000"/>
  </r>
  <r>
    <d v="2020-05-07T00:00:00"/>
    <x v="1"/>
    <x v="1"/>
    <x v="0"/>
    <n v="73"/>
    <n v="6000"/>
    <n v="4000"/>
    <n v="438000"/>
    <n v="14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3B0CBE-E4F4-44B5-B47A-CAF5F3D5B20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K7:L15"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dataField="1" showAll="0"/>
    <pivotField numFmtId="164" showAll="0"/>
    <pivotField numFmtId="164" showAll="0"/>
    <pivotField numFmtId="164" showAll="0"/>
    <pivotField numFmtId="164" showAll="0"/>
  </pivotFields>
  <rowFields count="1">
    <field x="3"/>
  </rowFields>
  <rowItems count="8">
    <i>
      <x/>
    </i>
    <i>
      <x v="1"/>
    </i>
    <i>
      <x v="2"/>
    </i>
    <i>
      <x v="3"/>
    </i>
    <i>
      <x v="4"/>
    </i>
    <i>
      <x v="5"/>
    </i>
    <i>
      <x v="6"/>
    </i>
    <i t="grand">
      <x/>
    </i>
  </rowItems>
  <colItems count="1">
    <i/>
  </colItems>
  <dataFields count="1">
    <dataField name="Sum of Units Sold" fld="4" baseField="0" baseItem="0" numFmtId="43"/>
  </dataFields>
  <formats count="1">
    <format dxfId="39">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ADA6E3-7DBA-47CB-9310-AF44D412459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4:I15" firstHeaderRow="1" firstDataRow="1" firstDataCol="1"/>
  <pivotFields count="9">
    <pivotField numFmtId="14" showAll="0"/>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1"/>
  </rowFields>
  <rowItems count="11">
    <i>
      <x/>
    </i>
    <i>
      <x v="1"/>
    </i>
    <i>
      <x v="2"/>
    </i>
    <i>
      <x v="3"/>
    </i>
    <i>
      <x v="4"/>
    </i>
    <i>
      <x v="5"/>
    </i>
    <i>
      <x v="6"/>
    </i>
    <i>
      <x v="7"/>
    </i>
    <i>
      <x v="8"/>
    </i>
    <i>
      <x v="9"/>
    </i>
    <i t="grand">
      <x/>
    </i>
  </rowItems>
  <colItems count="1">
    <i/>
  </colItems>
  <dataFields count="1">
    <dataField name="Sum of Total Sales" fld="7" baseField="1" baseItem="2" numFmtId="165"/>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21FEA2-6116-4829-864A-9260CB31D2C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6:F14"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3"/>
  </rowFields>
  <rowItems count="8">
    <i>
      <x/>
    </i>
    <i>
      <x v="1"/>
    </i>
    <i>
      <x v="2"/>
    </i>
    <i>
      <x v="3"/>
    </i>
    <i>
      <x v="4"/>
    </i>
    <i>
      <x v="5"/>
    </i>
    <i>
      <x v="6"/>
    </i>
    <i t="grand">
      <x/>
    </i>
  </rowItems>
  <colItems count="1">
    <i/>
  </colItems>
  <dataFields count="1">
    <dataField name="Sum of Total Sales" fld="7" baseField="3" baseItem="4" numFmtId="166"/>
  </dataFields>
  <chartFormats count="2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6"/>
          </reference>
        </references>
      </pivotArea>
    </chartFormat>
    <chartFormat chart="3" format="2">
      <pivotArea type="data" outline="0" fieldPosition="0">
        <references count="2">
          <reference field="4294967294" count="1" selected="0">
            <x v="0"/>
          </reference>
          <reference field="3" count="1" selected="0">
            <x v="4"/>
          </reference>
        </references>
      </pivotArea>
    </chartFormat>
    <chartFormat chart="3" format="3">
      <pivotArea type="data" outline="0" fieldPosition="0">
        <references count="2">
          <reference field="4294967294" count="1" selected="0">
            <x v="0"/>
          </reference>
          <reference field="3" count="1" selected="0">
            <x v="3"/>
          </reference>
        </references>
      </pivotArea>
    </chartFormat>
    <chartFormat chart="3" format="4">
      <pivotArea type="data" outline="0" fieldPosition="0">
        <references count="2">
          <reference field="4294967294" count="1" selected="0">
            <x v="0"/>
          </reference>
          <reference field="3" count="1" selected="0">
            <x v="2"/>
          </reference>
        </references>
      </pivotArea>
    </chartFormat>
    <chartFormat chart="3" format="5">
      <pivotArea type="data" outline="0" fieldPosition="0">
        <references count="2">
          <reference field="4294967294" count="1" selected="0">
            <x v="0"/>
          </reference>
          <reference field="3" count="1" selected="0">
            <x v="1"/>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5"/>
          </reference>
        </references>
      </pivotArea>
    </chartFormat>
    <chartFormat chart="7" format="32" series="1">
      <pivotArea type="data" outline="0" fieldPosition="0">
        <references count="1">
          <reference field="4294967294" count="1" selected="0">
            <x v="0"/>
          </reference>
        </references>
      </pivotArea>
    </chartFormat>
    <chartFormat chart="7" format="33">
      <pivotArea type="data" outline="0" fieldPosition="0">
        <references count="2">
          <reference field="4294967294" count="1" selected="0">
            <x v="0"/>
          </reference>
          <reference field="3" count="1" selected="0">
            <x v="0"/>
          </reference>
        </references>
      </pivotArea>
    </chartFormat>
    <chartFormat chart="7" format="34">
      <pivotArea type="data" outline="0" fieldPosition="0">
        <references count="2">
          <reference field="4294967294" count="1" selected="0">
            <x v="0"/>
          </reference>
          <reference field="3" count="1" selected="0">
            <x v="1"/>
          </reference>
        </references>
      </pivotArea>
    </chartFormat>
    <chartFormat chart="7" format="35">
      <pivotArea type="data" outline="0" fieldPosition="0">
        <references count="2">
          <reference field="4294967294" count="1" selected="0">
            <x v="0"/>
          </reference>
          <reference field="3" count="1" selected="0">
            <x v="2"/>
          </reference>
        </references>
      </pivotArea>
    </chartFormat>
    <chartFormat chart="7" format="36">
      <pivotArea type="data" outline="0" fieldPosition="0">
        <references count="2">
          <reference field="4294967294" count="1" selected="0">
            <x v="0"/>
          </reference>
          <reference field="3" count="1" selected="0">
            <x v="3"/>
          </reference>
        </references>
      </pivotArea>
    </chartFormat>
    <chartFormat chart="7" format="37">
      <pivotArea type="data" outline="0" fieldPosition="0">
        <references count="2">
          <reference field="4294967294" count="1" selected="0">
            <x v="0"/>
          </reference>
          <reference field="3" count="1" selected="0">
            <x v="4"/>
          </reference>
        </references>
      </pivotArea>
    </chartFormat>
    <chartFormat chart="7" format="38">
      <pivotArea type="data" outline="0" fieldPosition="0">
        <references count="2">
          <reference field="4294967294" count="1" selected="0">
            <x v="0"/>
          </reference>
          <reference field="3" count="1" selected="0">
            <x v="5"/>
          </reference>
        </references>
      </pivotArea>
    </chartFormat>
    <chartFormat chart="7" format="39">
      <pivotArea type="data" outline="0" fieldPosition="0">
        <references count="2">
          <reference field="4294967294" count="1" selected="0">
            <x v="0"/>
          </reference>
          <reference field="3" count="1" selected="0">
            <x v="6"/>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3" count="1" selected="0">
            <x v="0"/>
          </reference>
        </references>
      </pivotArea>
    </chartFormat>
    <chartFormat chart="9" format="18">
      <pivotArea type="data" outline="0" fieldPosition="0">
        <references count="2">
          <reference field="4294967294" count="1" selected="0">
            <x v="0"/>
          </reference>
          <reference field="3" count="1" selected="0">
            <x v="1"/>
          </reference>
        </references>
      </pivotArea>
    </chartFormat>
    <chartFormat chart="9" format="19">
      <pivotArea type="data" outline="0" fieldPosition="0">
        <references count="2">
          <reference field="4294967294" count="1" selected="0">
            <x v="0"/>
          </reference>
          <reference field="3" count="1" selected="0">
            <x v="2"/>
          </reference>
        </references>
      </pivotArea>
    </chartFormat>
    <chartFormat chart="9" format="20">
      <pivotArea type="data" outline="0" fieldPosition="0">
        <references count="2">
          <reference field="4294967294" count="1" selected="0">
            <x v="0"/>
          </reference>
          <reference field="3" count="1" selected="0">
            <x v="3"/>
          </reference>
        </references>
      </pivotArea>
    </chartFormat>
    <chartFormat chart="9" format="21">
      <pivotArea type="data" outline="0" fieldPosition="0">
        <references count="2">
          <reference field="4294967294" count="1" selected="0">
            <x v="0"/>
          </reference>
          <reference field="3" count="1" selected="0">
            <x v="4"/>
          </reference>
        </references>
      </pivotArea>
    </chartFormat>
    <chartFormat chart="9" format="22">
      <pivotArea type="data" outline="0" fieldPosition="0">
        <references count="2">
          <reference field="4294967294" count="1" selected="0">
            <x v="0"/>
          </reference>
          <reference field="3" count="1" selected="0">
            <x v="5"/>
          </reference>
        </references>
      </pivotArea>
    </chartFormat>
    <chartFormat chart="9" format="2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E1EED1-FC10-4BF5-A54D-E5481AF9AF9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9">
    <pivotField numFmtId="14" showAll="0"/>
    <pivotField showAll="0">
      <items count="11">
        <item x="0"/>
        <item x="8"/>
        <item x="3"/>
        <item x="5"/>
        <item x="7"/>
        <item x="2"/>
        <item x="1"/>
        <item x="4"/>
        <item x="9"/>
        <item x="6"/>
        <item t="default"/>
      </items>
    </pivotField>
    <pivotField axis="axisRow"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2"/>
  </rowFields>
  <rowItems count="5">
    <i>
      <x/>
    </i>
    <i>
      <x v="1"/>
    </i>
    <i>
      <x v="2"/>
    </i>
    <i>
      <x v="3"/>
    </i>
    <i t="grand">
      <x/>
    </i>
  </rowItems>
  <colItems count="1">
    <i/>
  </colItems>
  <dataFields count="1">
    <dataField name="Sum of Total Sales" fld="7" baseField="2" baseItem="2" numFmtId="165"/>
  </dataFields>
  <formats count="3">
    <format dxfId="38">
      <pivotArea collapsedLevelsAreSubtotals="1" fieldPosition="0">
        <references count="1">
          <reference field="2" count="0"/>
        </references>
      </pivotArea>
    </format>
    <format dxfId="37">
      <pivotArea outline="0" collapsedLevelsAreSubtotals="1" fieldPosition="0"/>
    </format>
    <format dxfId="36">
      <pivotArea outline="0" fieldPosition="0">
        <references count="1">
          <reference field="4294967294" count="1">
            <x v="0"/>
          </reference>
        </references>
      </pivotArea>
    </format>
  </formats>
  <chartFormats count="3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0"/>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 chart="2" format="13">
      <pivotArea type="data" outline="0" fieldPosition="0">
        <references count="2">
          <reference field="4294967294" count="1" selected="0">
            <x v="0"/>
          </reference>
          <reference field="2" count="1" selected="0">
            <x v="2"/>
          </reference>
        </references>
      </pivotArea>
    </chartFormat>
    <chartFormat chart="2" format="14">
      <pivotArea type="data" outline="0" fieldPosition="0">
        <references count="2">
          <reference field="4294967294" count="1" selected="0">
            <x v="0"/>
          </reference>
          <reference field="2"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2" count="1" selected="0">
            <x v="0"/>
          </reference>
        </references>
      </pivotArea>
    </chartFormat>
    <chartFormat chart="4" format="12">
      <pivotArea type="data" outline="0" fieldPosition="0">
        <references count="2">
          <reference field="4294967294" count="1" selected="0">
            <x v="0"/>
          </reference>
          <reference field="2" count="1" selected="0">
            <x v="1"/>
          </reference>
        </references>
      </pivotArea>
    </chartFormat>
    <chartFormat chart="4" format="13">
      <pivotArea type="data" outline="0" fieldPosition="0">
        <references count="2">
          <reference field="4294967294" count="1" selected="0">
            <x v="0"/>
          </reference>
          <reference field="2" count="1" selected="0">
            <x v="2"/>
          </reference>
        </references>
      </pivotArea>
    </chartFormat>
    <chartFormat chart="4" format="14">
      <pivotArea type="data" outline="0" fieldPosition="0">
        <references count="2">
          <reference field="4294967294" count="1" selected="0">
            <x v="0"/>
          </reference>
          <reference field="2" count="1" selected="0">
            <x v="3"/>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 count="1" selected="0">
            <x v="0"/>
          </reference>
        </references>
      </pivotArea>
    </chartFormat>
    <chartFormat chart="5" format="7">
      <pivotArea type="data" outline="0" fieldPosition="0">
        <references count="2">
          <reference field="4294967294" count="1" selected="0">
            <x v="0"/>
          </reference>
          <reference field="2" count="1" selected="0">
            <x v="1"/>
          </reference>
        </references>
      </pivotArea>
    </chartFormat>
    <chartFormat chart="5" format="8">
      <pivotArea type="data" outline="0" fieldPosition="0">
        <references count="2">
          <reference field="4294967294" count="1" selected="0">
            <x v="0"/>
          </reference>
          <reference field="2" count="1" selected="0">
            <x v="2"/>
          </reference>
        </references>
      </pivotArea>
    </chartFormat>
    <chartFormat chart="5" format="9">
      <pivotArea type="data" outline="0" fieldPosition="0">
        <references count="2">
          <reference field="4294967294" count="1" selected="0">
            <x v="0"/>
          </reference>
          <reference field="2" count="1" selected="0">
            <x v="3"/>
          </reference>
        </references>
      </pivotArea>
    </chartFormat>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2" count="1" selected="0">
            <x v="0"/>
          </reference>
        </references>
      </pivotArea>
    </chartFormat>
    <chartFormat chart="7" format="17">
      <pivotArea type="data" outline="0" fieldPosition="0">
        <references count="2">
          <reference field="4294967294" count="1" selected="0">
            <x v="0"/>
          </reference>
          <reference field="2" count="1" selected="0">
            <x v="1"/>
          </reference>
        </references>
      </pivotArea>
    </chartFormat>
    <chartFormat chart="7" format="18">
      <pivotArea type="data" outline="0" fieldPosition="0">
        <references count="2">
          <reference field="4294967294" count="1" selected="0">
            <x v="0"/>
          </reference>
          <reference field="2" count="1" selected="0">
            <x v="2"/>
          </reference>
        </references>
      </pivotArea>
    </chartFormat>
    <chartFormat chart="7" format="19">
      <pivotArea type="data" outline="0" fieldPosition="0">
        <references count="2">
          <reference field="4294967294" count="1" selected="0">
            <x v="0"/>
          </reference>
          <reference field="2" count="1" selected="0">
            <x v="3"/>
          </reference>
        </references>
      </pivotArea>
    </chartFormat>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2" count="1" selected="0">
            <x v="0"/>
          </reference>
        </references>
      </pivotArea>
    </chartFormat>
    <chartFormat chart="8" format="22">
      <pivotArea type="data" outline="0" fieldPosition="0">
        <references count="2">
          <reference field="4294967294" count="1" selected="0">
            <x v="0"/>
          </reference>
          <reference field="2" count="1" selected="0">
            <x v="1"/>
          </reference>
        </references>
      </pivotArea>
    </chartFormat>
    <chartFormat chart="8" format="23">
      <pivotArea type="data" outline="0" fieldPosition="0">
        <references count="2">
          <reference field="4294967294" count="1" selected="0">
            <x v="0"/>
          </reference>
          <reference field="2" count="1" selected="0">
            <x v="2"/>
          </reference>
        </references>
      </pivotArea>
    </chartFormat>
    <chartFormat chart="8" format="2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6E99F668-AE39-4123-9DBB-52B6D6FDFED9}" sourceName="Sales Person">
  <pivotTables>
    <pivotTable tabId="11" name="PivotTable8"/>
    <pivotTable tabId="4" name="PivotTable4"/>
    <pivotTable tabId="4" name="PivotTable5"/>
    <pivotTable tabId="4" name="PivotTable6"/>
  </pivotTables>
  <data>
    <tabular pivotCacheId="28100712">
      <items count="10">
        <i x="0" s="1"/>
        <i x="8" s="1"/>
        <i x="3" s="1"/>
        <i x="5" s="1"/>
        <i x="7" s="1"/>
        <i x="2" s="1"/>
        <i x="1" s="1"/>
        <i x="4" s="1"/>
        <i x="9"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087BE0A-A9D2-4CAB-8D15-BB0604318F96}" sourceName="Region">
  <pivotTables>
    <pivotTable tabId="11" name="PivotTable8"/>
    <pivotTable tabId="4" name="PivotTable4"/>
    <pivotTable tabId="4" name="PivotTable5"/>
    <pivotTable tabId="4" name="PivotTable6"/>
  </pivotTables>
  <data>
    <tabular pivotCacheId="28100712">
      <items count="4">
        <i x="1" s="1"/>
        <i x="3" s="1"/>
        <i x="2"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918E1AF-289D-48AD-B154-9688020143E9}" sourceName="Product">
  <pivotTables>
    <pivotTable tabId="11" name="PivotTable8"/>
    <pivotTable tabId="4" name="PivotTable4"/>
    <pivotTable tabId="4" name="PivotTable5"/>
    <pivotTable tabId="4" name="PivotTable6"/>
  </pivotTables>
  <data>
    <tabular pivotCacheId="28100712">
      <items count="7">
        <i x="2" s="1"/>
        <i x="1" s="1"/>
        <i x="5" s="1"/>
        <i x="3" s="1"/>
        <i x="6"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3AF187E0-56E2-47FA-9517-CA603A984D06}" cache="Slicer_Sales_Person" caption="Sales Person" style="SlicerStyleDark6" rowHeight="247650"/>
  <slicer name="Region 1" xr10:uid="{FCA4C314-7AE9-4E2B-8ACD-3FEB47076767}" cache="Slicer_Region" caption="Region" columnCount="2" showCaption="0" style="SlicerStyleDark6" rowHeight="247650"/>
  <slicer name="Product 1" xr10:uid="{D1DABF33-6B71-4BFE-9EB7-DF2C3134A7F9}" cache="Slicer_Product" caption="Product" style="SlicerStyleDark6"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540ACC2E-A45E-499C-93FB-8138A0F617FA}" cache="Slicer_Sales_Person" caption="Sales Person" rowHeight="247650"/>
  <slicer name="Region" xr10:uid="{55F2DD26-FC4E-4D68-A45A-4AADB96A8DB2}" cache="Slicer_Region" caption="Region" columnCount="2" showCaption="0" rowHeight="247650"/>
  <slicer name="Product" xr10:uid="{E2281CF2-A841-41A1-B10C-F83BC952D7A3}" cache="Slicer_Product" caption="Produc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585CF8-46E0-4B07-998E-D1DFE7B406A9}" name="Table1" displayName="Table1" ref="A1:I51" totalsRowShown="0" headerRowDxfId="35" dataDxfId="34" dataCellStyle="Currency [0]">
  <autoFilter ref="A1:I51" xr:uid="{5A585CF8-46E0-4B07-998E-D1DFE7B406A9}"/>
  <tableColumns count="9">
    <tableColumn id="1" xr3:uid="{1BB4E0D2-F971-4D28-9A07-A1989E9BFE65}" name="Date" dataDxfId="33"/>
    <tableColumn id="2" xr3:uid="{00DBC9F7-6DBA-4186-8DB1-29ECE06291A1}" name="Sales Person"/>
    <tableColumn id="3" xr3:uid="{831E0AA1-5F10-4B31-8E46-D448A746428A}" name="Region"/>
    <tableColumn id="4" xr3:uid="{F7122141-0918-4DAD-A62C-6F549D205198}" name="Product"/>
    <tableColumn id="5" xr3:uid="{FC34BA4D-CF88-484F-82C9-EC576D2F2583}" name="Units Sold" dataDxfId="32"/>
    <tableColumn id="6" xr3:uid="{54EB98D6-5085-4E31-8AF1-A3D6F31E272B}" name="Unit Price" dataDxfId="31" dataCellStyle="Currency [0]">
      <calculatedColumnFormula>IF(D2="Tent",6000,IF(D2="Blender",3500,IF(D2="Action Figure",1200,IF(D2="Novel",1000,IF(D2="Sneakers",4000,IF(D2="Smartphone",10000,IF(D2="moisturizer",600,"No Product Found")))))))</calculatedColumnFormula>
    </tableColumn>
    <tableColumn id="7" xr3:uid="{4DBC5810-626F-46CF-A4C2-9693D387610D}" name="Cost of Goods" dataDxfId="30" dataCellStyle="Currency [0]">
      <calculatedColumnFormula>IF(D2="Tent",4000,IF(D2="Blender",2500,IF(D2="Action Figure",800,IF(D2="Novel",700,IF(D2="Sneakers",3000,IF(D2="Smartphone",7000,IF(D2="moisturizer",400,"No Product Found")))))))</calculatedColumnFormula>
    </tableColumn>
    <tableColumn id="8" xr3:uid="{65A5678E-C64F-4A51-8415-5EA370F428B5}" name="Total Sales" dataDxfId="29" dataCellStyle="Currency [0]">
      <calculatedColumnFormula>F2*E2</calculatedColumnFormula>
    </tableColumn>
    <tableColumn id="9" xr3:uid="{84BC911D-6D27-45C6-B5D7-9E6B02122DC6}" name="Profit" dataDxfId="28" dataCellStyle="Currency [0]">
      <calculatedColumnFormula>H2-(G2*E2)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EA76E-9A4D-4D36-9921-ABB8E43C8CA1}">
  <sheetPr>
    <pageSetUpPr fitToPage="1"/>
  </sheetPr>
  <dimension ref="B16"/>
  <sheetViews>
    <sheetView showGridLines="0" showRowColHeaders="0" tabSelected="1" zoomScale="74" zoomScaleNormal="100" workbookViewId="0">
      <selection activeCell="AC33" sqref="AC33"/>
    </sheetView>
  </sheetViews>
  <sheetFormatPr defaultRowHeight="14.4" x14ac:dyDescent="0.3"/>
  <cols>
    <col min="1" max="16384" width="8.88671875" style="12"/>
  </cols>
  <sheetData>
    <row r="16" spans="2:2" x14ac:dyDescent="0.3">
      <c r="B16" s="11"/>
    </row>
  </sheetData>
  <pageMargins left="0.23622047244094491" right="0.23622047244094491" top="0.74803149606299213" bottom="0.74803149606299213" header="0.31496062992125984" footer="0.31496062992125984"/>
  <pageSetup paperSize="9" scale="66"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94812-C98A-4288-AC07-55FC805CE123}">
  <dimension ref="A1"/>
  <sheetViews>
    <sheetView showGridLines="0" workbookViewId="0">
      <selection activeCell="V17" sqref="V17"/>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5B08C-1E5B-4FC4-9161-546E835E7107}">
  <dimension ref="E4:L15"/>
  <sheetViews>
    <sheetView workbookViewId="0">
      <selection activeCell="I52" sqref="I52"/>
    </sheetView>
  </sheetViews>
  <sheetFormatPr defaultRowHeight="14.4" x14ac:dyDescent="0.3"/>
  <cols>
    <col min="1" max="1" width="12.5546875" bestFit="1" customWidth="1"/>
    <col min="2" max="2" width="16.44140625" bestFit="1" customWidth="1"/>
    <col min="5" max="5" width="12.44140625" bestFit="1" customWidth="1"/>
    <col min="6" max="6" width="16.109375" bestFit="1" customWidth="1"/>
    <col min="7" max="7" width="17.5546875" bestFit="1" customWidth="1"/>
    <col min="8" max="8" width="12.44140625" bestFit="1" customWidth="1"/>
    <col min="9" max="9" width="16.109375" bestFit="1" customWidth="1"/>
    <col min="11" max="11" width="12.44140625" bestFit="1" customWidth="1"/>
    <col min="12" max="12" width="15.5546875" bestFit="1" customWidth="1"/>
  </cols>
  <sheetData>
    <row r="4" spans="5:12" x14ac:dyDescent="0.3">
      <c r="H4" s="6" t="s">
        <v>34</v>
      </c>
      <c r="I4" t="s">
        <v>35</v>
      </c>
    </row>
    <row r="5" spans="5:12" x14ac:dyDescent="0.3">
      <c r="H5" s="3" t="s">
        <v>8</v>
      </c>
      <c r="I5" s="7">
        <v>1591600</v>
      </c>
    </row>
    <row r="6" spans="5:12" x14ac:dyDescent="0.3">
      <c r="E6" s="6" t="s">
        <v>34</v>
      </c>
      <c r="F6" t="s">
        <v>35</v>
      </c>
      <c r="H6" s="3" t="s">
        <v>25</v>
      </c>
      <c r="I6" s="7">
        <v>677600</v>
      </c>
    </row>
    <row r="7" spans="5:12" x14ac:dyDescent="0.3">
      <c r="E7" s="3" t="s">
        <v>16</v>
      </c>
      <c r="F7" s="8">
        <v>547200</v>
      </c>
      <c r="H7" s="3" t="s">
        <v>17</v>
      </c>
      <c r="I7" s="7">
        <v>1957000</v>
      </c>
      <c r="K7" s="6" t="s">
        <v>34</v>
      </c>
      <c r="L7" t="s">
        <v>36</v>
      </c>
    </row>
    <row r="8" spans="5:12" x14ac:dyDescent="0.3">
      <c r="E8" s="3" t="s">
        <v>13</v>
      </c>
      <c r="F8" s="8">
        <v>2222500</v>
      </c>
      <c r="H8" s="3" t="s">
        <v>22</v>
      </c>
      <c r="I8" s="7">
        <v>1661400</v>
      </c>
      <c r="K8" s="3" t="s">
        <v>16</v>
      </c>
      <c r="L8" s="10">
        <v>456</v>
      </c>
    </row>
    <row r="9" spans="5:12" x14ac:dyDescent="0.3">
      <c r="E9" s="3" t="s">
        <v>26</v>
      </c>
      <c r="F9" s="8">
        <v>706800</v>
      </c>
      <c r="H9" s="3" t="s">
        <v>24</v>
      </c>
      <c r="I9" s="7">
        <v>1741200</v>
      </c>
      <c r="K9" s="3" t="s">
        <v>13</v>
      </c>
      <c r="L9" s="10">
        <v>635</v>
      </c>
    </row>
    <row r="10" spans="5:12" x14ac:dyDescent="0.3">
      <c r="E10" s="3" t="s">
        <v>19</v>
      </c>
      <c r="F10" s="8">
        <v>898000</v>
      </c>
      <c r="H10" s="3" t="s">
        <v>14</v>
      </c>
      <c r="I10" s="7">
        <v>1110000</v>
      </c>
      <c r="K10" s="3" t="s">
        <v>26</v>
      </c>
      <c r="L10" s="10">
        <v>1178</v>
      </c>
    </row>
    <row r="11" spans="5:12" x14ac:dyDescent="0.3">
      <c r="E11" s="3" t="s">
        <v>28</v>
      </c>
      <c r="F11" s="8">
        <v>2350000</v>
      </c>
      <c r="H11" s="3" t="s">
        <v>11</v>
      </c>
      <c r="I11" s="7">
        <v>1777400</v>
      </c>
      <c r="K11" s="3" t="s">
        <v>19</v>
      </c>
      <c r="L11" s="10">
        <v>898</v>
      </c>
    </row>
    <row r="12" spans="5:12" x14ac:dyDescent="0.3">
      <c r="E12" s="3" t="s">
        <v>21</v>
      </c>
      <c r="F12" s="8">
        <v>3196000</v>
      </c>
      <c r="H12" s="3" t="s">
        <v>20</v>
      </c>
      <c r="I12" s="7">
        <v>1065400</v>
      </c>
      <c r="K12" s="3" t="s">
        <v>28</v>
      </c>
      <c r="L12" s="10">
        <v>235</v>
      </c>
    </row>
    <row r="13" spans="5:12" x14ac:dyDescent="0.3">
      <c r="E13" s="3" t="s">
        <v>10</v>
      </c>
      <c r="F13" s="8">
        <v>3024000</v>
      </c>
      <c r="H13" s="3" t="s">
        <v>27</v>
      </c>
      <c r="I13" s="7">
        <v>784400</v>
      </c>
      <c r="K13" s="3" t="s">
        <v>21</v>
      </c>
      <c r="L13" s="10">
        <v>799</v>
      </c>
    </row>
    <row r="14" spans="5:12" x14ac:dyDescent="0.3">
      <c r="E14" s="3" t="s">
        <v>30</v>
      </c>
      <c r="F14" s="8">
        <v>12944500</v>
      </c>
      <c r="H14" s="3" t="s">
        <v>23</v>
      </c>
      <c r="I14" s="7">
        <v>578500</v>
      </c>
      <c r="K14" s="3" t="s">
        <v>10</v>
      </c>
      <c r="L14" s="10">
        <v>504</v>
      </c>
    </row>
    <row r="15" spans="5:12" x14ac:dyDescent="0.3">
      <c r="H15" s="3" t="s">
        <v>30</v>
      </c>
      <c r="I15" s="7">
        <v>12944500</v>
      </c>
      <c r="K15" s="3" t="s">
        <v>30</v>
      </c>
      <c r="L15" s="10">
        <v>4705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E5E78-8924-43EA-A9A1-D240516486D0}">
  <dimension ref="A3:B8"/>
  <sheetViews>
    <sheetView workbookViewId="0">
      <selection activeCell="M7" sqref="M7"/>
    </sheetView>
  </sheetViews>
  <sheetFormatPr defaultRowHeight="14.4" x14ac:dyDescent="0.3"/>
  <cols>
    <col min="1" max="1" width="12.44140625" bestFit="1" customWidth="1"/>
    <col min="2" max="2" width="16.109375" bestFit="1" customWidth="1"/>
  </cols>
  <sheetData>
    <row r="3" spans="1:2" x14ac:dyDescent="0.3">
      <c r="A3" s="6" t="s">
        <v>34</v>
      </c>
      <c r="B3" t="s">
        <v>35</v>
      </c>
    </row>
    <row r="4" spans="1:2" x14ac:dyDescent="0.3">
      <c r="A4" s="3" t="s">
        <v>12</v>
      </c>
      <c r="B4" s="7">
        <v>3534400</v>
      </c>
    </row>
    <row r="5" spans="1:2" x14ac:dyDescent="0.3">
      <c r="A5" s="3" t="s">
        <v>18</v>
      </c>
      <c r="B5" s="7">
        <v>2661400</v>
      </c>
    </row>
    <row r="6" spans="1:2" x14ac:dyDescent="0.3">
      <c r="A6" s="3" t="s">
        <v>15</v>
      </c>
      <c r="B6" s="7">
        <v>2870600</v>
      </c>
    </row>
    <row r="7" spans="1:2" x14ac:dyDescent="0.3">
      <c r="A7" s="3" t="s">
        <v>9</v>
      </c>
      <c r="B7" s="7">
        <v>3878100</v>
      </c>
    </row>
    <row r="8" spans="1:2" x14ac:dyDescent="0.3">
      <c r="A8" s="3" t="s">
        <v>30</v>
      </c>
      <c r="B8" s="7">
        <v>12944500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CB3DF-9E1D-4E87-B39C-21F41FB7A8AD}">
  <dimension ref="A1:K51"/>
  <sheetViews>
    <sheetView workbookViewId="0">
      <selection activeCell="G20" sqref="G20"/>
    </sheetView>
  </sheetViews>
  <sheetFormatPr defaultRowHeight="14.4" x14ac:dyDescent="0.3"/>
  <cols>
    <col min="1" max="1" width="12.88671875" customWidth="1"/>
    <col min="2" max="2" width="13.33203125" customWidth="1"/>
    <col min="4" max="4" width="15.6640625" customWidth="1"/>
    <col min="5" max="5" width="11.33203125" customWidth="1"/>
    <col min="6" max="6" width="11" customWidth="1"/>
    <col min="7" max="7" width="14.5546875" customWidth="1"/>
    <col min="8" max="9" width="13.5546875" customWidth="1"/>
    <col min="10" max="10" width="12.21875" bestFit="1" customWidth="1"/>
    <col min="11" max="11" width="14.21875" customWidth="1"/>
  </cols>
  <sheetData>
    <row r="1" spans="1:11" ht="20.100000000000001" customHeight="1" thickBot="1" x14ac:dyDescent="0.35">
      <c r="A1" s="1" t="s">
        <v>0</v>
      </c>
      <c r="B1" s="1" t="s">
        <v>1</v>
      </c>
      <c r="C1" s="1" t="s">
        <v>2</v>
      </c>
      <c r="D1" s="1" t="s">
        <v>3</v>
      </c>
      <c r="E1" s="1" t="s">
        <v>4</v>
      </c>
      <c r="F1" s="1" t="s">
        <v>5</v>
      </c>
      <c r="G1" s="1" t="s">
        <v>6</v>
      </c>
      <c r="H1" s="1" t="s">
        <v>7</v>
      </c>
      <c r="I1" s="5" t="s">
        <v>29</v>
      </c>
      <c r="K1" s="5" t="s">
        <v>30</v>
      </c>
    </row>
    <row r="2" spans="1:11" ht="15" thickTop="1" x14ac:dyDescent="0.3">
      <c r="A2" s="2">
        <v>44246</v>
      </c>
      <c r="B2" t="s">
        <v>8</v>
      </c>
      <c r="C2" t="s">
        <v>9</v>
      </c>
      <c r="D2" t="s">
        <v>10</v>
      </c>
      <c r="E2" s="3">
        <v>84</v>
      </c>
      <c r="F2" s="4">
        <f>IF(D2="Tent",6000,IF(D2="Blender",3500,IF(D2="Action Figure",1200,IF(D2="Novel",1000,IF(D2="Sneakers",4000,IF(D2="Smartphone",10000,IF(D2="moisturizer",600,"No Product Found")))))))</f>
        <v>6000</v>
      </c>
      <c r="G2" s="4">
        <f>IF(D2="Tent",4000,IF(D2="Blender",2500,IF(D2="Action Figure",800,IF(D2="Novel",700,IF(D2="Sneakers",3000,IF(D2="Smartphone",7000,IF(D2="moisturizer",400,"No Product Found")))))))</f>
        <v>4000</v>
      </c>
      <c r="H2" s="4">
        <f>F2*E2</f>
        <v>504000</v>
      </c>
      <c r="I2" s="4">
        <f>H2-(G2*E2)</f>
        <v>168000</v>
      </c>
      <c r="K2" s="9">
        <f>SUM(H2:H51)</f>
        <v>12944500</v>
      </c>
    </row>
    <row r="3" spans="1:11" x14ac:dyDescent="0.3">
      <c r="A3" s="2">
        <v>44446</v>
      </c>
      <c r="B3" t="s">
        <v>11</v>
      </c>
      <c r="C3" t="s">
        <v>12</v>
      </c>
      <c r="D3" t="s">
        <v>13</v>
      </c>
      <c r="E3" s="3">
        <v>128</v>
      </c>
      <c r="F3" s="4">
        <f t="shared" ref="F3:F51" si="0">IF(D3="Tent",6000,IF(D3="Blender",3500,IF(D3="Action Figure",1200,IF(D3="Novel",1000,IF(D3="Sneakers",4000,IF(D3="Smartphone",10000,IF(D3="moisturizer",600,"No Product Found")))))))</f>
        <v>3500</v>
      </c>
      <c r="G3" s="4">
        <f t="shared" ref="G3:G51" si="1">IF(D3="Tent",4000,IF(D3="Blender",2500,IF(D3="Action Figure",800,IF(D3="Novel",700,IF(D3="Sneakers",3000,IF(D3="Smartphone",7000,IF(D3="moisturizer",400,"No Product Found")))))))</f>
        <v>2500</v>
      </c>
      <c r="H3" s="4">
        <f t="shared" ref="H3:H51" si="2">F3*E3</f>
        <v>448000</v>
      </c>
      <c r="I3" s="4">
        <f t="shared" ref="I3:I51" si="3">H3-(G3*E3)</f>
        <v>128000</v>
      </c>
    </row>
    <row r="4" spans="1:11" x14ac:dyDescent="0.3">
      <c r="A4" s="2">
        <v>44230</v>
      </c>
      <c r="B4" t="s">
        <v>14</v>
      </c>
      <c r="C4" t="s">
        <v>15</v>
      </c>
      <c r="D4" t="s">
        <v>16</v>
      </c>
      <c r="E4" s="3">
        <v>136</v>
      </c>
      <c r="F4" s="4">
        <f t="shared" si="0"/>
        <v>1200</v>
      </c>
      <c r="G4" s="4">
        <f t="shared" si="1"/>
        <v>800</v>
      </c>
      <c r="H4" s="4">
        <f t="shared" si="2"/>
        <v>163200</v>
      </c>
      <c r="I4" s="4">
        <f t="shared" si="3"/>
        <v>54400</v>
      </c>
      <c r="K4" t="s">
        <v>31</v>
      </c>
    </row>
    <row r="5" spans="1:11" x14ac:dyDescent="0.3">
      <c r="A5" s="2">
        <v>44085</v>
      </c>
      <c r="B5" t="s">
        <v>17</v>
      </c>
      <c r="C5" t="s">
        <v>18</v>
      </c>
      <c r="D5" t="s">
        <v>19</v>
      </c>
      <c r="E5" s="3">
        <v>91</v>
      </c>
      <c r="F5" s="4">
        <f t="shared" si="0"/>
        <v>1000</v>
      </c>
      <c r="G5" s="4">
        <f t="shared" si="1"/>
        <v>700</v>
      </c>
      <c r="H5" s="4">
        <f t="shared" si="2"/>
        <v>91000</v>
      </c>
      <c r="I5" s="4">
        <f t="shared" si="3"/>
        <v>27300</v>
      </c>
      <c r="K5" s="9">
        <f>SUM(E2:E51)</f>
        <v>4705</v>
      </c>
    </row>
    <row r="6" spans="1:11" x14ac:dyDescent="0.3">
      <c r="A6" s="2">
        <v>44462</v>
      </c>
      <c r="B6" t="s">
        <v>20</v>
      </c>
      <c r="C6" t="s">
        <v>9</v>
      </c>
      <c r="D6" t="s">
        <v>21</v>
      </c>
      <c r="E6" s="3">
        <v>110</v>
      </c>
      <c r="F6" s="4">
        <f t="shared" si="0"/>
        <v>4000</v>
      </c>
      <c r="G6" s="4">
        <f t="shared" si="1"/>
        <v>3000</v>
      </c>
      <c r="H6" s="4">
        <f t="shared" si="2"/>
        <v>440000</v>
      </c>
      <c r="I6" s="4">
        <f t="shared" si="3"/>
        <v>110000</v>
      </c>
      <c r="K6" t="s">
        <v>32</v>
      </c>
    </row>
    <row r="7" spans="1:11" x14ac:dyDescent="0.3">
      <c r="A7" s="2">
        <v>44105</v>
      </c>
      <c r="B7" t="s">
        <v>22</v>
      </c>
      <c r="C7" t="s">
        <v>12</v>
      </c>
      <c r="D7" t="s">
        <v>16</v>
      </c>
      <c r="E7" s="3">
        <v>51</v>
      </c>
      <c r="F7" s="4">
        <f t="shared" si="0"/>
        <v>1200</v>
      </c>
      <c r="G7" s="4">
        <f t="shared" si="1"/>
        <v>800</v>
      </c>
      <c r="H7" s="4">
        <f t="shared" si="2"/>
        <v>61200</v>
      </c>
      <c r="I7" s="4">
        <f t="shared" si="3"/>
        <v>20400</v>
      </c>
      <c r="K7" s="9">
        <f>SUM(I2:I51)</f>
        <v>3834400</v>
      </c>
    </row>
    <row r="8" spans="1:11" x14ac:dyDescent="0.3">
      <c r="A8" s="2">
        <v>44413</v>
      </c>
      <c r="B8" t="s">
        <v>23</v>
      </c>
      <c r="C8" t="s">
        <v>18</v>
      </c>
      <c r="D8" t="s">
        <v>19</v>
      </c>
      <c r="E8" s="3">
        <v>78</v>
      </c>
      <c r="F8" s="4">
        <f t="shared" si="0"/>
        <v>1000</v>
      </c>
      <c r="G8" s="4">
        <f t="shared" si="1"/>
        <v>700</v>
      </c>
      <c r="H8" s="4">
        <f t="shared" si="2"/>
        <v>78000</v>
      </c>
      <c r="I8" s="4">
        <f t="shared" si="3"/>
        <v>23400</v>
      </c>
    </row>
    <row r="9" spans="1:11" x14ac:dyDescent="0.3">
      <c r="A9" s="2">
        <v>44141</v>
      </c>
      <c r="B9" t="s">
        <v>24</v>
      </c>
      <c r="C9" t="s">
        <v>15</v>
      </c>
      <c r="D9" t="s">
        <v>10</v>
      </c>
      <c r="E9" s="3">
        <v>146</v>
      </c>
      <c r="F9" s="4">
        <f t="shared" si="0"/>
        <v>6000</v>
      </c>
      <c r="G9" s="4">
        <f t="shared" si="1"/>
        <v>4000</v>
      </c>
      <c r="H9" s="4">
        <f t="shared" si="2"/>
        <v>876000</v>
      </c>
      <c r="I9" s="4">
        <f t="shared" si="3"/>
        <v>292000</v>
      </c>
      <c r="K9" t="s">
        <v>33</v>
      </c>
    </row>
    <row r="10" spans="1:11" x14ac:dyDescent="0.3">
      <c r="A10" s="2">
        <v>44223</v>
      </c>
      <c r="B10" t="s">
        <v>25</v>
      </c>
      <c r="C10" t="s">
        <v>9</v>
      </c>
      <c r="D10" t="s">
        <v>26</v>
      </c>
      <c r="E10" s="3">
        <v>101</v>
      </c>
      <c r="F10" s="4">
        <f t="shared" si="0"/>
        <v>600</v>
      </c>
      <c r="G10" s="4">
        <f t="shared" si="1"/>
        <v>400</v>
      </c>
      <c r="H10" s="4">
        <f t="shared" si="2"/>
        <v>60600</v>
      </c>
      <c r="I10" s="4">
        <f t="shared" si="3"/>
        <v>20200</v>
      </c>
      <c r="K10" s="9">
        <f>AVERAGE(H2:H51)</f>
        <v>258890</v>
      </c>
    </row>
    <row r="11" spans="1:11" x14ac:dyDescent="0.3">
      <c r="A11" s="2">
        <v>44442</v>
      </c>
      <c r="B11" t="s">
        <v>27</v>
      </c>
      <c r="C11" t="s">
        <v>15</v>
      </c>
      <c r="D11" t="s">
        <v>10</v>
      </c>
      <c r="E11" s="3">
        <v>52</v>
      </c>
      <c r="F11" s="4">
        <f t="shared" si="0"/>
        <v>6000</v>
      </c>
      <c r="G11" s="4">
        <f t="shared" si="1"/>
        <v>4000</v>
      </c>
      <c r="H11" s="4">
        <f t="shared" si="2"/>
        <v>312000</v>
      </c>
      <c r="I11" s="4">
        <f t="shared" si="3"/>
        <v>104000</v>
      </c>
    </row>
    <row r="12" spans="1:11" x14ac:dyDescent="0.3">
      <c r="A12" s="2">
        <v>44469</v>
      </c>
      <c r="B12" t="s">
        <v>27</v>
      </c>
      <c r="C12" t="s">
        <v>12</v>
      </c>
      <c r="D12" t="s">
        <v>16</v>
      </c>
      <c r="E12" s="3">
        <v>55</v>
      </c>
      <c r="F12" s="4">
        <f t="shared" si="0"/>
        <v>1200</v>
      </c>
      <c r="G12" s="4">
        <f t="shared" si="1"/>
        <v>800</v>
      </c>
      <c r="H12" s="4">
        <f t="shared" si="2"/>
        <v>66000</v>
      </c>
      <c r="I12" s="4">
        <f t="shared" si="3"/>
        <v>22000</v>
      </c>
    </row>
    <row r="13" spans="1:11" x14ac:dyDescent="0.3">
      <c r="A13" s="2">
        <v>44084</v>
      </c>
      <c r="B13" t="s">
        <v>27</v>
      </c>
      <c r="C13" t="s">
        <v>15</v>
      </c>
      <c r="D13" t="s">
        <v>19</v>
      </c>
      <c r="E13" s="3">
        <v>137</v>
      </c>
      <c r="F13" s="4">
        <f t="shared" si="0"/>
        <v>1000</v>
      </c>
      <c r="G13" s="4">
        <f t="shared" si="1"/>
        <v>700</v>
      </c>
      <c r="H13" s="4">
        <f t="shared" si="2"/>
        <v>137000</v>
      </c>
      <c r="I13" s="4">
        <f t="shared" si="3"/>
        <v>41100</v>
      </c>
    </row>
    <row r="14" spans="1:11" x14ac:dyDescent="0.3">
      <c r="A14" s="2">
        <v>44404</v>
      </c>
      <c r="B14" t="s">
        <v>24</v>
      </c>
      <c r="C14" t="s">
        <v>15</v>
      </c>
      <c r="D14" t="s">
        <v>13</v>
      </c>
      <c r="E14" s="3">
        <v>96</v>
      </c>
      <c r="F14" s="4">
        <f t="shared" si="0"/>
        <v>3500</v>
      </c>
      <c r="G14" s="4">
        <f t="shared" si="1"/>
        <v>2500</v>
      </c>
      <c r="H14" s="4">
        <f t="shared" si="2"/>
        <v>336000</v>
      </c>
      <c r="I14" s="4">
        <f t="shared" si="3"/>
        <v>96000</v>
      </c>
    </row>
    <row r="15" spans="1:11" x14ac:dyDescent="0.3">
      <c r="A15" s="2">
        <v>44113</v>
      </c>
      <c r="B15" t="s">
        <v>25</v>
      </c>
      <c r="C15" t="s">
        <v>12</v>
      </c>
      <c r="D15" t="s">
        <v>21</v>
      </c>
      <c r="E15" s="3">
        <v>52</v>
      </c>
      <c r="F15" s="4">
        <f t="shared" si="0"/>
        <v>4000</v>
      </c>
      <c r="G15" s="4">
        <f t="shared" si="1"/>
        <v>3000</v>
      </c>
      <c r="H15" s="4">
        <f t="shared" si="2"/>
        <v>208000</v>
      </c>
      <c r="I15" s="4">
        <f t="shared" si="3"/>
        <v>52000</v>
      </c>
    </row>
    <row r="16" spans="1:11" x14ac:dyDescent="0.3">
      <c r="A16" s="2">
        <v>44292</v>
      </c>
      <c r="B16" t="s">
        <v>17</v>
      </c>
      <c r="C16" t="s">
        <v>9</v>
      </c>
      <c r="D16" t="s">
        <v>13</v>
      </c>
      <c r="E16" s="3">
        <v>76</v>
      </c>
      <c r="F16" s="4">
        <f t="shared" si="0"/>
        <v>3500</v>
      </c>
      <c r="G16" s="4">
        <f t="shared" si="1"/>
        <v>2500</v>
      </c>
      <c r="H16" s="4">
        <f t="shared" si="2"/>
        <v>266000</v>
      </c>
      <c r="I16" s="4">
        <f t="shared" si="3"/>
        <v>76000</v>
      </c>
    </row>
    <row r="17" spans="1:9" x14ac:dyDescent="0.3">
      <c r="A17" s="2">
        <v>44362</v>
      </c>
      <c r="B17" t="s">
        <v>11</v>
      </c>
      <c r="C17" t="s">
        <v>18</v>
      </c>
      <c r="D17" t="s">
        <v>21</v>
      </c>
      <c r="E17" s="3">
        <v>145</v>
      </c>
      <c r="F17" s="4">
        <f t="shared" si="0"/>
        <v>4000</v>
      </c>
      <c r="G17" s="4">
        <f t="shared" si="1"/>
        <v>3000</v>
      </c>
      <c r="H17" s="4">
        <f t="shared" si="2"/>
        <v>580000</v>
      </c>
      <c r="I17" s="4">
        <f t="shared" si="3"/>
        <v>145000</v>
      </c>
    </row>
    <row r="18" spans="1:9" x14ac:dyDescent="0.3">
      <c r="A18" s="2">
        <v>44083</v>
      </c>
      <c r="B18" t="s">
        <v>8</v>
      </c>
      <c r="C18" t="s">
        <v>15</v>
      </c>
      <c r="D18" t="s">
        <v>26</v>
      </c>
      <c r="E18" s="3">
        <v>83</v>
      </c>
      <c r="F18" s="4">
        <f t="shared" si="0"/>
        <v>600</v>
      </c>
      <c r="G18" s="4">
        <f t="shared" si="1"/>
        <v>400</v>
      </c>
      <c r="H18" s="4">
        <f t="shared" si="2"/>
        <v>49800</v>
      </c>
      <c r="I18" s="4">
        <f t="shared" si="3"/>
        <v>16600</v>
      </c>
    </row>
    <row r="19" spans="1:9" x14ac:dyDescent="0.3">
      <c r="A19" s="2">
        <v>44421</v>
      </c>
      <c r="B19" t="s">
        <v>20</v>
      </c>
      <c r="C19" t="s">
        <v>15</v>
      </c>
      <c r="D19" t="s">
        <v>19</v>
      </c>
      <c r="E19" s="3">
        <v>91</v>
      </c>
      <c r="F19" s="4">
        <f t="shared" si="0"/>
        <v>1000</v>
      </c>
      <c r="G19" s="4">
        <f t="shared" si="1"/>
        <v>700</v>
      </c>
      <c r="H19" s="4">
        <f t="shared" si="2"/>
        <v>91000</v>
      </c>
      <c r="I19" s="4">
        <f t="shared" si="3"/>
        <v>27300</v>
      </c>
    </row>
    <row r="20" spans="1:9" x14ac:dyDescent="0.3">
      <c r="A20" s="2">
        <v>44070</v>
      </c>
      <c r="B20" t="s">
        <v>22</v>
      </c>
      <c r="C20" t="s">
        <v>9</v>
      </c>
      <c r="D20" t="s">
        <v>28</v>
      </c>
      <c r="E20" s="3">
        <v>108</v>
      </c>
      <c r="F20" s="4">
        <f t="shared" si="0"/>
        <v>10000</v>
      </c>
      <c r="G20" s="4">
        <f t="shared" si="1"/>
        <v>7000</v>
      </c>
      <c r="H20" s="4">
        <f t="shared" si="2"/>
        <v>1080000</v>
      </c>
      <c r="I20" s="4">
        <f t="shared" si="3"/>
        <v>324000</v>
      </c>
    </row>
    <row r="21" spans="1:9" x14ac:dyDescent="0.3">
      <c r="A21" s="2">
        <v>44293</v>
      </c>
      <c r="B21" t="s">
        <v>14</v>
      </c>
      <c r="C21" t="s">
        <v>18</v>
      </c>
      <c r="D21" t="s">
        <v>21</v>
      </c>
      <c r="E21" s="3">
        <v>144</v>
      </c>
      <c r="F21" s="4">
        <f t="shared" si="0"/>
        <v>4000</v>
      </c>
      <c r="G21" s="4">
        <f t="shared" si="1"/>
        <v>3000</v>
      </c>
      <c r="H21" s="4">
        <f t="shared" si="2"/>
        <v>576000</v>
      </c>
      <c r="I21" s="4">
        <f t="shared" si="3"/>
        <v>144000</v>
      </c>
    </row>
    <row r="22" spans="1:9" x14ac:dyDescent="0.3">
      <c r="A22" s="2">
        <v>43990</v>
      </c>
      <c r="B22" t="s">
        <v>20</v>
      </c>
      <c r="C22" t="s">
        <v>15</v>
      </c>
      <c r="D22" t="s">
        <v>26</v>
      </c>
      <c r="E22" s="3">
        <v>92</v>
      </c>
      <c r="F22" s="4">
        <f t="shared" si="0"/>
        <v>600</v>
      </c>
      <c r="G22" s="4">
        <f t="shared" si="1"/>
        <v>400</v>
      </c>
      <c r="H22" s="4">
        <f t="shared" si="2"/>
        <v>55200</v>
      </c>
      <c r="I22" s="4">
        <f t="shared" si="3"/>
        <v>18400</v>
      </c>
    </row>
    <row r="23" spans="1:9" x14ac:dyDescent="0.3">
      <c r="A23" s="2">
        <v>44551</v>
      </c>
      <c r="B23" t="s">
        <v>24</v>
      </c>
      <c r="C23" t="s">
        <v>9</v>
      </c>
      <c r="D23" t="s">
        <v>10</v>
      </c>
      <c r="E23" s="3">
        <v>71</v>
      </c>
      <c r="F23" s="4">
        <f t="shared" si="0"/>
        <v>6000</v>
      </c>
      <c r="G23" s="4">
        <f t="shared" si="1"/>
        <v>4000</v>
      </c>
      <c r="H23" s="4">
        <f t="shared" si="2"/>
        <v>426000</v>
      </c>
      <c r="I23" s="4">
        <f t="shared" si="3"/>
        <v>142000</v>
      </c>
    </row>
    <row r="24" spans="1:9" x14ac:dyDescent="0.3">
      <c r="A24" s="2">
        <v>44418</v>
      </c>
      <c r="B24" t="s">
        <v>8</v>
      </c>
      <c r="C24" t="s">
        <v>12</v>
      </c>
      <c r="D24" t="s">
        <v>26</v>
      </c>
      <c r="E24" s="3">
        <v>103</v>
      </c>
      <c r="F24" s="4">
        <f t="shared" si="0"/>
        <v>600</v>
      </c>
      <c r="G24" s="4">
        <f t="shared" si="1"/>
        <v>400</v>
      </c>
      <c r="H24" s="4">
        <f t="shared" si="2"/>
        <v>61800</v>
      </c>
      <c r="I24" s="4">
        <f t="shared" si="3"/>
        <v>20600</v>
      </c>
    </row>
    <row r="25" spans="1:9" x14ac:dyDescent="0.3">
      <c r="A25" s="2">
        <v>44532</v>
      </c>
      <c r="B25" t="s">
        <v>27</v>
      </c>
      <c r="C25" t="s">
        <v>18</v>
      </c>
      <c r="D25" t="s">
        <v>19</v>
      </c>
      <c r="E25" s="3">
        <v>55</v>
      </c>
      <c r="F25" s="4">
        <f t="shared" si="0"/>
        <v>1000</v>
      </c>
      <c r="G25" s="4">
        <f t="shared" si="1"/>
        <v>700</v>
      </c>
      <c r="H25" s="4">
        <f t="shared" si="2"/>
        <v>55000</v>
      </c>
      <c r="I25" s="4">
        <f t="shared" si="3"/>
        <v>16500</v>
      </c>
    </row>
    <row r="26" spans="1:9" x14ac:dyDescent="0.3">
      <c r="A26" s="2">
        <v>44438</v>
      </c>
      <c r="B26" t="s">
        <v>22</v>
      </c>
      <c r="C26" t="s">
        <v>12</v>
      </c>
      <c r="D26" t="s">
        <v>21</v>
      </c>
      <c r="E26" s="3">
        <v>93</v>
      </c>
      <c r="F26" s="4">
        <f t="shared" si="0"/>
        <v>4000</v>
      </c>
      <c r="G26" s="4">
        <f t="shared" si="1"/>
        <v>3000</v>
      </c>
      <c r="H26" s="4">
        <f t="shared" si="2"/>
        <v>372000</v>
      </c>
      <c r="I26" s="4">
        <f t="shared" si="3"/>
        <v>93000</v>
      </c>
    </row>
    <row r="27" spans="1:9" x14ac:dyDescent="0.3">
      <c r="A27" s="2">
        <v>43971</v>
      </c>
      <c r="B27" t="s">
        <v>14</v>
      </c>
      <c r="C27" t="s">
        <v>15</v>
      </c>
      <c r="D27" t="s">
        <v>26</v>
      </c>
      <c r="E27" s="3">
        <v>143</v>
      </c>
      <c r="F27" s="4">
        <f t="shared" si="0"/>
        <v>600</v>
      </c>
      <c r="G27" s="4">
        <f t="shared" si="1"/>
        <v>400</v>
      </c>
      <c r="H27" s="4">
        <f t="shared" si="2"/>
        <v>85800</v>
      </c>
      <c r="I27" s="4">
        <f t="shared" si="3"/>
        <v>28600</v>
      </c>
    </row>
    <row r="28" spans="1:9" x14ac:dyDescent="0.3">
      <c r="A28" s="2">
        <v>44452</v>
      </c>
      <c r="B28" t="s">
        <v>23</v>
      </c>
      <c r="C28" t="s">
        <v>9</v>
      </c>
      <c r="D28" t="s">
        <v>13</v>
      </c>
      <c r="E28" s="3">
        <v>143</v>
      </c>
      <c r="F28" s="4">
        <f t="shared" si="0"/>
        <v>3500</v>
      </c>
      <c r="G28" s="4">
        <f t="shared" si="1"/>
        <v>2500</v>
      </c>
      <c r="H28" s="4">
        <f t="shared" si="2"/>
        <v>500500</v>
      </c>
      <c r="I28" s="4">
        <f t="shared" si="3"/>
        <v>143000</v>
      </c>
    </row>
    <row r="29" spans="1:9" x14ac:dyDescent="0.3">
      <c r="A29" s="2">
        <v>44496</v>
      </c>
      <c r="B29" t="s">
        <v>25</v>
      </c>
      <c r="C29" t="s">
        <v>18</v>
      </c>
      <c r="D29" t="s">
        <v>26</v>
      </c>
      <c r="E29" s="3">
        <v>99</v>
      </c>
      <c r="F29" s="4">
        <f t="shared" si="0"/>
        <v>600</v>
      </c>
      <c r="G29" s="4">
        <f t="shared" si="1"/>
        <v>400</v>
      </c>
      <c r="H29" s="4">
        <f t="shared" si="2"/>
        <v>59400</v>
      </c>
      <c r="I29" s="4">
        <f t="shared" si="3"/>
        <v>19800</v>
      </c>
    </row>
    <row r="30" spans="1:9" x14ac:dyDescent="0.3">
      <c r="A30" s="2">
        <v>44187</v>
      </c>
      <c r="B30" t="s">
        <v>17</v>
      </c>
      <c r="C30" t="s">
        <v>9</v>
      </c>
      <c r="D30" t="s">
        <v>19</v>
      </c>
      <c r="E30" s="3">
        <v>120</v>
      </c>
      <c r="F30" s="4">
        <f t="shared" si="0"/>
        <v>1000</v>
      </c>
      <c r="G30" s="4">
        <f t="shared" si="1"/>
        <v>700</v>
      </c>
      <c r="H30" s="4">
        <f t="shared" si="2"/>
        <v>120000</v>
      </c>
      <c r="I30" s="4">
        <f t="shared" si="3"/>
        <v>36000</v>
      </c>
    </row>
    <row r="31" spans="1:9" x14ac:dyDescent="0.3">
      <c r="A31" s="2">
        <v>44405</v>
      </c>
      <c r="B31" t="s">
        <v>11</v>
      </c>
      <c r="C31" t="s">
        <v>15</v>
      </c>
      <c r="D31" t="s">
        <v>13</v>
      </c>
      <c r="E31" s="3">
        <v>66</v>
      </c>
      <c r="F31" s="4">
        <f t="shared" si="0"/>
        <v>3500</v>
      </c>
      <c r="G31" s="4">
        <f t="shared" si="1"/>
        <v>2500</v>
      </c>
      <c r="H31" s="4">
        <f t="shared" si="2"/>
        <v>231000</v>
      </c>
      <c r="I31" s="4">
        <f t="shared" si="3"/>
        <v>66000</v>
      </c>
    </row>
    <row r="32" spans="1:9" x14ac:dyDescent="0.3">
      <c r="A32" s="2">
        <v>44103</v>
      </c>
      <c r="B32" t="s">
        <v>25</v>
      </c>
      <c r="C32" t="s">
        <v>18</v>
      </c>
      <c r="D32" t="s">
        <v>16</v>
      </c>
      <c r="E32" s="3">
        <v>88</v>
      </c>
      <c r="F32" s="4">
        <f t="shared" si="0"/>
        <v>1200</v>
      </c>
      <c r="G32" s="4">
        <f t="shared" si="1"/>
        <v>800</v>
      </c>
      <c r="H32" s="4">
        <f t="shared" si="2"/>
        <v>105600</v>
      </c>
      <c r="I32" s="4">
        <f t="shared" si="3"/>
        <v>35200</v>
      </c>
    </row>
    <row r="33" spans="1:9" x14ac:dyDescent="0.3">
      <c r="A33" s="2">
        <v>44126</v>
      </c>
      <c r="B33" t="s">
        <v>17</v>
      </c>
      <c r="C33" t="s">
        <v>12</v>
      </c>
      <c r="D33" t="s">
        <v>28</v>
      </c>
      <c r="E33" s="3">
        <v>127</v>
      </c>
      <c r="F33" s="4">
        <f t="shared" si="0"/>
        <v>10000</v>
      </c>
      <c r="G33" s="4">
        <f t="shared" si="1"/>
        <v>7000</v>
      </c>
      <c r="H33" s="4">
        <f t="shared" si="2"/>
        <v>1270000</v>
      </c>
      <c r="I33" s="4">
        <f t="shared" si="3"/>
        <v>381000</v>
      </c>
    </row>
    <row r="34" spans="1:9" x14ac:dyDescent="0.3">
      <c r="A34" s="2">
        <v>43970</v>
      </c>
      <c r="B34" t="s">
        <v>20</v>
      </c>
      <c r="C34" t="s">
        <v>9</v>
      </c>
      <c r="D34" t="s">
        <v>21</v>
      </c>
      <c r="E34" s="3">
        <v>67</v>
      </c>
      <c r="F34" s="4">
        <f t="shared" si="0"/>
        <v>4000</v>
      </c>
      <c r="G34" s="4">
        <f t="shared" si="1"/>
        <v>3000</v>
      </c>
      <c r="H34" s="4">
        <f t="shared" si="2"/>
        <v>268000</v>
      </c>
      <c r="I34" s="4">
        <f t="shared" si="3"/>
        <v>67000</v>
      </c>
    </row>
    <row r="35" spans="1:9" x14ac:dyDescent="0.3">
      <c r="A35" s="2">
        <v>44536</v>
      </c>
      <c r="B35" t="s">
        <v>11</v>
      </c>
      <c r="C35" t="s">
        <v>12</v>
      </c>
      <c r="D35" t="s">
        <v>16</v>
      </c>
      <c r="E35" s="3">
        <v>67</v>
      </c>
      <c r="F35" s="4">
        <f t="shared" si="0"/>
        <v>1200</v>
      </c>
      <c r="G35" s="4">
        <f t="shared" si="1"/>
        <v>800</v>
      </c>
      <c r="H35" s="4">
        <f t="shared" si="2"/>
        <v>80400</v>
      </c>
      <c r="I35" s="4">
        <f t="shared" si="3"/>
        <v>26800</v>
      </c>
    </row>
    <row r="36" spans="1:9" x14ac:dyDescent="0.3">
      <c r="A36" s="2">
        <v>44069</v>
      </c>
      <c r="B36" t="s">
        <v>27</v>
      </c>
      <c r="C36" t="s">
        <v>15</v>
      </c>
      <c r="D36" t="s">
        <v>19</v>
      </c>
      <c r="E36" s="3">
        <v>149</v>
      </c>
      <c r="F36" s="4">
        <f t="shared" si="0"/>
        <v>1000</v>
      </c>
      <c r="G36" s="4">
        <f t="shared" si="1"/>
        <v>700</v>
      </c>
      <c r="H36" s="4">
        <f t="shared" si="2"/>
        <v>149000</v>
      </c>
      <c r="I36" s="4">
        <f t="shared" si="3"/>
        <v>44700</v>
      </c>
    </row>
    <row r="37" spans="1:9" x14ac:dyDescent="0.3">
      <c r="A37" s="2">
        <v>44378</v>
      </c>
      <c r="B37" t="s">
        <v>20</v>
      </c>
      <c r="C37" t="s">
        <v>18</v>
      </c>
      <c r="D37" t="s">
        <v>26</v>
      </c>
      <c r="E37" s="3">
        <v>104</v>
      </c>
      <c r="F37" s="4">
        <f t="shared" si="0"/>
        <v>600</v>
      </c>
      <c r="G37" s="4">
        <f t="shared" si="1"/>
        <v>400</v>
      </c>
      <c r="H37" s="4">
        <f t="shared" si="2"/>
        <v>62400</v>
      </c>
      <c r="I37" s="4">
        <f t="shared" si="3"/>
        <v>20800</v>
      </c>
    </row>
    <row r="38" spans="1:9" x14ac:dyDescent="0.3">
      <c r="A38" s="2">
        <v>44404</v>
      </c>
      <c r="B38" t="s">
        <v>24</v>
      </c>
      <c r="C38" t="s">
        <v>9</v>
      </c>
      <c r="D38" t="s">
        <v>26</v>
      </c>
      <c r="E38" s="3">
        <v>57</v>
      </c>
      <c r="F38" s="4">
        <f t="shared" si="0"/>
        <v>600</v>
      </c>
      <c r="G38" s="4">
        <f t="shared" si="1"/>
        <v>400</v>
      </c>
      <c r="H38" s="4">
        <f t="shared" si="2"/>
        <v>34200</v>
      </c>
      <c r="I38" s="4">
        <f t="shared" si="3"/>
        <v>11400</v>
      </c>
    </row>
    <row r="39" spans="1:9" x14ac:dyDescent="0.3">
      <c r="A39" s="2">
        <v>44109</v>
      </c>
      <c r="B39" t="s">
        <v>14</v>
      </c>
      <c r="C39" t="s">
        <v>12</v>
      </c>
      <c r="D39" t="s">
        <v>26</v>
      </c>
      <c r="E39" s="3">
        <v>90</v>
      </c>
      <c r="F39" s="4">
        <f t="shared" si="0"/>
        <v>600</v>
      </c>
      <c r="G39" s="4">
        <f t="shared" si="1"/>
        <v>400</v>
      </c>
      <c r="H39" s="4">
        <f t="shared" si="2"/>
        <v>54000</v>
      </c>
      <c r="I39" s="4">
        <f t="shared" si="3"/>
        <v>18000</v>
      </c>
    </row>
    <row r="40" spans="1:9" x14ac:dyDescent="0.3">
      <c r="A40" s="2">
        <v>44076</v>
      </c>
      <c r="B40" t="s">
        <v>22</v>
      </c>
      <c r="C40" t="s">
        <v>15</v>
      </c>
      <c r="D40" t="s">
        <v>26</v>
      </c>
      <c r="E40" s="3">
        <v>67</v>
      </c>
      <c r="F40" s="4">
        <f t="shared" si="0"/>
        <v>600</v>
      </c>
      <c r="G40" s="4">
        <f t="shared" si="1"/>
        <v>400</v>
      </c>
      <c r="H40" s="4">
        <f t="shared" si="2"/>
        <v>40200</v>
      </c>
      <c r="I40" s="4">
        <f t="shared" si="3"/>
        <v>13400</v>
      </c>
    </row>
    <row r="41" spans="1:9" x14ac:dyDescent="0.3">
      <c r="A41" s="2">
        <v>44441</v>
      </c>
      <c r="B41" t="s">
        <v>8</v>
      </c>
      <c r="C41" t="s">
        <v>18</v>
      </c>
      <c r="D41" t="s">
        <v>21</v>
      </c>
      <c r="E41" s="3">
        <v>127</v>
      </c>
      <c r="F41" s="4">
        <f t="shared" si="0"/>
        <v>4000</v>
      </c>
      <c r="G41" s="4">
        <f t="shared" si="1"/>
        <v>3000</v>
      </c>
      <c r="H41" s="4">
        <f t="shared" si="2"/>
        <v>508000</v>
      </c>
      <c r="I41" s="4">
        <f t="shared" si="3"/>
        <v>127000</v>
      </c>
    </row>
    <row r="42" spans="1:9" x14ac:dyDescent="0.3">
      <c r="A42" s="2">
        <v>44299</v>
      </c>
      <c r="B42" t="s">
        <v>22</v>
      </c>
      <c r="C42" t="s">
        <v>9</v>
      </c>
      <c r="D42" t="s">
        <v>19</v>
      </c>
      <c r="E42" s="3">
        <v>108</v>
      </c>
      <c r="F42" s="4">
        <f t="shared" si="0"/>
        <v>1000</v>
      </c>
      <c r="G42" s="4">
        <f t="shared" si="1"/>
        <v>700</v>
      </c>
      <c r="H42" s="4">
        <f t="shared" si="2"/>
        <v>108000</v>
      </c>
      <c r="I42" s="4">
        <f t="shared" si="3"/>
        <v>32400</v>
      </c>
    </row>
    <row r="43" spans="1:9" x14ac:dyDescent="0.3">
      <c r="A43" s="2">
        <v>44322</v>
      </c>
      <c r="B43" t="s">
        <v>14</v>
      </c>
      <c r="C43" t="s">
        <v>12</v>
      </c>
      <c r="D43" t="s">
        <v>13</v>
      </c>
      <c r="E43" s="3">
        <v>66</v>
      </c>
      <c r="F43" s="4">
        <f t="shared" si="0"/>
        <v>3500</v>
      </c>
      <c r="G43" s="4">
        <f t="shared" si="1"/>
        <v>2500</v>
      </c>
      <c r="H43" s="4">
        <f t="shared" si="2"/>
        <v>231000</v>
      </c>
      <c r="I43" s="4">
        <f t="shared" si="3"/>
        <v>66000</v>
      </c>
    </row>
    <row r="44" spans="1:9" x14ac:dyDescent="0.3">
      <c r="A44" s="2">
        <v>44211</v>
      </c>
      <c r="B44" t="s">
        <v>8</v>
      </c>
      <c r="C44" t="s">
        <v>18</v>
      </c>
      <c r="D44" t="s">
        <v>10</v>
      </c>
      <c r="E44" s="3">
        <v>78</v>
      </c>
      <c r="F44" s="4">
        <f t="shared" si="0"/>
        <v>6000</v>
      </c>
      <c r="G44" s="4">
        <f t="shared" si="1"/>
        <v>4000</v>
      </c>
      <c r="H44" s="4">
        <f t="shared" si="2"/>
        <v>468000</v>
      </c>
      <c r="I44" s="4">
        <f t="shared" si="3"/>
        <v>156000</v>
      </c>
    </row>
    <row r="45" spans="1:9" x14ac:dyDescent="0.3">
      <c r="A45" s="2">
        <v>44070</v>
      </c>
      <c r="B45" t="s">
        <v>24</v>
      </c>
      <c r="C45" t="s">
        <v>15</v>
      </c>
      <c r="D45" t="s">
        <v>19</v>
      </c>
      <c r="E45" s="3">
        <v>69</v>
      </c>
      <c r="F45" s="4">
        <f t="shared" si="0"/>
        <v>1000</v>
      </c>
      <c r="G45" s="4">
        <f t="shared" si="1"/>
        <v>700</v>
      </c>
      <c r="H45" s="4">
        <f t="shared" si="2"/>
        <v>69000</v>
      </c>
      <c r="I45" s="4">
        <f t="shared" si="3"/>
        <v>20700</v>
      </c>
    </row>
    <row r="46" spans="1:9" x14ac:dyDescent="0.3">
      <c r="A46" s="2">
        <v>44232</v>
      </c>
      <c r="B46" t="s">
        <v>20</v>
      </c>
      <c r="C46" t="s">
        <v>9</v>
      </c>
      <c r="D46" t="s">
        <v>16</v>
      </c>
      <c r="E46" s="3">
        <v>59</v>
      </c>
      <c r="F46" s="4">
        <f t="shared" si="0"/>
        <v>1200</v>
      </c>
      <c r="G46" s="4">
        <f t="shared" si="1"/>
        <v>800</v>
      </c>
      <c r="H46" s="4">
        <f t="shared" si="2"/>
        <v>70800</v>
      </c>
      <c r="I46" s="4">
        <f t="shared" si="3"/>
        <v>23600</v>
      </c>
    </row>
    <row r="47" spans="1:9" x14ac:dyDescent="0.3">
      <c r="A47" s="2">
        <v>44517</v>
      </c>
      <c r="B47" t="s">
        <v>27</v>
      </c>
      <c r="C47" t="s">
        <v>15</v>
      </c>
      <c r="D47" t="s">
        <v>26</v>
      </c>
      <c r="E47" s="3">
        <v>109</v>
      </c>
      <c r="F47" s="4">
        <f t="shared" si="0"/>
        <v>600</v>
      </c>
      <c r="G47" s="4">
        <f t="shared" si="1"/>
        <v>400</v>
      </c>
      <c r="H47" s="4">
        <f t="shared" si="2"/>
        <v>65400</v>
      </c>
      <c r="I47" s="4">
        <f t="shared" si="3"/>
        <v>21800</v>
      </c>
    </row>
    <row r="48" spans="1:9" x14ac:dyDescent="0.3">
      <c r="A48" s="2">
        <v>44193</v>
      </c>
      <c r="B48" t="s">
        <v>25</v>
      </c>
      <c r="C48" t="s">
        <v>12</v>
      </c>
      <c r="D48" t="s">
        <v>21</v>
      </c>
      <c r="E48" s="3">
        <v>61</v>
      </c>
      <c r="F48" s="4">
        <f t="shared" si="0"/>
        <v>4000</v>
      </c>
      <c r="G48" s="4">
        <f t="shared" si="1"/>
        <v>3000</v>
      </c>
      <c r="H48" s="4">
        <f t="shared" si="2"/>
        <v>244000</v>
      </c>
      <c r="I48" s="4">
        <f t="shared" si="3"/>
        <v>61000</v>
      </c>
    </row>
    <row r="49" spans="1:9" x14ac:dyDescent="0.3">
      <c r="A49" s="2">
        <v>44496</v>
      </c>
      <c r="B49" t="s">
        <v>20</v>
      </c>
      <c r="C49" t="s">
        <v>18</v>
      </c>
      <c r="D49" t="s">
        <v>26</v>
      </c>
      <c r="E49" s="3">
        <v>130</v>
      </c>
      <c r="F49" s="4">
        <f t="shared" si="0"/>
        <v>600</v>
      </c>
      <c r="G49" s="4">
        <f t="shared" si="1"/>
        <v>400</v>
      </c>
      <c r="H49" s="4">
        <f t="shared" si="2"/>
        <v>78000</v>
      </c>
      <c r="I49" s="4">
        <f t="shared" si="3"/>
        <v>26000</v>
      </c>
    </row>
    <row r="50" spans="1:9" x14ac:dyDescent="0.3">
      <c r="A50" s="2">
        <v>44502</v>
      </c>
      <c r="B50" t="s">
        <v>17</v>
      </c>
      <c r="C50" t="s">
        <v>15</v>
      </c>
      <c r="D50" t="s">
        <v>13</v>
      </c>
      <c r="E50" s="3">
        <v>60</v>
      </c>
      <c r="F50" s="4">
        <f t="shared" si="0"/>
        <v>3500</v>
      </c>
      <c r="G50" s="4">
        <f t="shared" si="1"/>
        <v>2500</v>
      </c>
      <c r="H50" s="4">
        <f t="shared" si="2"/>
        <v>210000</v>
      </c>
      <c r="I50" s="4">
        <f t="shared" si="3"/>
        <v>60000</v>
      </c>
    </row>
    <row r="51" spans="1:9" x14ac:dyDescent="0.3">
      <c r="A51" s="2">
        <v>43958</v>
      </c>
      <c r="B51" t="s">
        <v>11</v>
      </c>
      <c r="C51" t="s">
        <v>12</v>
      </c>
      <c r="D51" t="s">
        <v>10</v>
      </c>
      <c r="E51" s="3">
        <v>73</v>
      </c>
      <c r="F51" s="4">
        <f t="shared" si="0"/>
        <v>6000</v>
      </c>
      <c r="G51" s="4">
        <f t="shared" si="1"/>
        <v>4000</v>
      </c>
      <c r="H51" s="4">
        <f t="shared" si="2"/>
        <v>438000</v>
      </c>
      <c r="I51" s="4">
        <f t="shared" si="3"/>
        <v>146000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DashBoard</vt:lpstr>
      <vt:lpstr>Charts</vt:lpstr>
      <vt:lpstr>Pivot Tables</vt:lpstr>
      <vt:lpstr>Slicers</vt:lpstr>
      <vt:lpstr>SalesData</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GANGA GAYATHRI R</dc:creator>
  <cp:lastModifiedBy>gangagayathri R</cp:lastModifiedBy>
  <cp:lastPrinted>2026-01-12T18:19:16Z</cp:lastPrinted>
  <dcterms:created xsi:type="dcterms:W3CDTF">2024-05-30T14:35:02Z</dcterms:created>
  <dcterms:modified xsi:type="dcterms:W3CDTF">2026-01-12T18:35:28Z</dcterms:modified>
</cp:coreProperties>
</file>