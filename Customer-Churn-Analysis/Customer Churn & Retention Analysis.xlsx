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nga\Desktop\"/>
    </mc:Choice>
  </mc:AlternateContent>
  <xr:revisionPtr revIDLastSave="0" documentId="8_{51DE3D1E-69BD-41AE-85EC-969373660A5B}" xr6:coauthVersionLast="47" xr6:coauthVersionMax="47" xr10:uidLastSave="{00000000-0000-0000-0000-000000000000}"/>
  <bookViews>
    <workbookView xWindow="-108" yWindow="-108" windowWidth="23256" windowHeight="12456" activeTab="3" xr2:uid="{AD4F2F1B-E049-4E95-ADE3-EEB33D2439DE}"/>
  </bookViews>
  <sheets>
    <sheet name="Churn by Region Pivot" sheetId="4" r:id="rId1"/>
    <sheet name="KPI_Analysis" sheetId="5" r:id="rId2"/>
    <sheet name="Churn by Plan Type Pivot" sheetId="7" r:id="rId3"/>
    <sheet name="Dashboard" sheetId="8" r:id="rId4"/>
    <sheet name="raw_data" sheetId="1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K10" i="1"/>
  <c r="K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4" i="1"/>
  <c r="M3" i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L10" i="1"/>
  <c r="L9" i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<sst xmlns="http://schemas.openxmlformats.org/spreadsheetml/2006/main" count="96" uniqueCount="47">
  <si>
    <t>Customer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</si>
  <si>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</si>
  <si>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</si>
  <si>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</si>
  <si>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</si>
  <si>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</si>
  <si>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</si>
  <si>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</si>
  <si>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</si>
  <si>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</si>
  <si>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</si>
  <si>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</si>
  <si>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</si>
  <si>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</si>
  <si>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</si>
  <si>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</si>
  <si>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Region</t>
  </si>
  <si>
    <t>North</t>
  </si>
  <si>
    <t>South</t>
  </si>
  <si>
    <t>East</t>
  </si>
  <si>
    <t>West</t>
  </si>
  <si>
    <t>Plan Type</t>
  </si>
  <si>
    <t>Basic</t>
  </si>
  <si>
    <t>Premium</t>
  </si>
  <si>
    <t>Join Date</t>
  </si>
  <si>
    <t>Last Purchase Date</t>
  </si>
  <si>
    <t>Total Purchase</t>
  </si>
  <si>
    <t>Total Spend</t>
  </si>
  <si>
    <t>Status</t>
  </si>
  <si>
    <t>Active</t>
  </si>
  <si>
    <t>Churned</t>
  </si>
  <si>
    <t>Days Since Last Purchase</t>
  </si>
  <si>
    <t>Churn Flag</t>
  </si>
  <si>
    <t>Analysis Date</t>
  </si>
  <si>
    <t>Customer Value Category</t>
  </si>
  <si>
    <t>Row Labels</t>
  </si>
  <si>
    <t>Grand Total</t>
  </si>
  <si>
    <t>Count of Customer ID</t>
  </si>
  <si>
    <t>Yes</t>
  </si>
  <si>
    <t>KPI</t>
  </si>
  <si>
    <t>Formula</t>
  </si>
  <si>
    <t>Total Customers</t>
  </si>
  <si>
    <t>Churned Customers</t>
  </si>
  <si>
    <t>Retained Customers</t>
  </si>
  <si>
    <t>Churn Rate %</t>
  </si>
  <si>
    <t>Retention Rate %</t>
  </si>
  <si>
    <t>Customer Churn &amp; Retention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</si>
</sst>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0" fontId="4" fillId="0" borderId="0" xfId="0" applyNumberFormat="1" applyFont="1" applyAlignment="1">
      <alignment vertical="center" wrapText="1"/>
    </xf>
    <xf numFmtId="0" fontId="1" fillId="2" borderId="0" xfId="0" applyFont="1" applyFill="1"/>
    <xf numFmtId="14" fontId="1" fillId="2" borderId="0" xfId="0" applyNumberFormat="1" applyFont="1" applyFill="1"/>
    <xf numFmtId="164" fontId="1" fillId="2" borderId="0" xfId="0" applyNumberFormat="1" applyFont="1" applyFill="1"/>
    <xf numFmtId="0" fontId="0" fillId="0" borderId="0" xfId="0" applyAlignment="1">
      <alignment horizontal="center"/>
    </xf>
    <xf numFmtId="0" fontId="1" fillId="4" borderId="0" xfId="0" applyFont="1" applyFill="1"/>
    <xf numFmtId="0" fontId="5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Retention Analysis.xlsx]Churn by Region Pivot!PivotTable2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Region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Region Pivot'!$A$4:$A$8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by Region Pivot'!$B$4:$B$8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7-4ECB-B24F-ACA52FB4F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07584"/>
        <c:axId val="96211904"/>
      </c:barChart>
      <c:catAx>
        <c:axId val="9620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1904"/>
        <c:crosses val="autoZero"/>
        <c:auto val="1"/>
        <c:lblAlgn val="ctr"/>
        <c:lblOffset val="100"/>
        <c:noMultiLvlLbl val="0"/>
      </c:catAx>
      <c:valAx>
        <c:axId val="962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vs Retention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KPI_Analysis!$B$1</c:f>
              <c:strCache>
                <c:ptCount val="1"/>
                <c:pt idx="0">
                  <c:v>Formula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KPI_Analysis!$A$2:$A$6</c:f>
              <c:strCache>
                <c:ptCount val="5"/>
                <c:pt idx="0">
                  <c:v>Total Customers</c:v>
                </c:pt>
                <c:pt idx="1">
                  <c:v>Churned Customers</c:v>
                </c:pt>
                <c:pt idx="2">
                  <c:v>Retained Customers</c:v>
                </c:pt>
                <c:pt idx="3">
                  <c:v>Churn Rate %</c:v>
                </c:pt>
                <c:pt idx="4">
                  <c:v>Retention Rate %</c:v>
                </c:pt>
              </c:strCache>
            </c:strRef>
          </c:cat>
          <c:val>
            <c:numRef>
              <c:f>KPI_Analysis!$B$2:$B$6</c:f>
              <c:numCache>
                <c:formatCode>General</c:formatCode>
                <c:ptCount val="5"/>
                <c:pt idx="0">
                  <c:v>15</c:v>
                </c:pt>
                <c:pt idx="1">
                  <c:v>7</c:v>
                </c:pt>
                <c:pt idx="2">
                  <c:v>8</c:v>
                </c:pt>
                <c:pt idx="3" formatCode="0.00%">
                  <c:v>46.666666666666664</c:v>
                </c:pt>
                <c:pt idx="4" formatCode="0.00%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A-4F01-8B95-3C76070C7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Retention Analysis.xlsx]Churn by Plan Type Pivot!PivotTable3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Plan Type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Plan Type Pivot'!$A$4:$A$6</c:f>
              <c:strCache>
                <c:ptCount val="2"/>
                <c:pt idx="0">
                  <c:v>Basic</c:v>
                </c:pt>
                <c:pt idx="1">
                  <c:v>Premium</c:v>
                </c:pt>
              </c:strCache>
            </c:strRef>
          </c:cat>
          <c:val>
            <c:numRef>
              <c:f>'Churn by Plan Type Pivot'!$B$4:$B$6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1-412D-BE37-E297EFEA7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97504"/>
        <c:axId val="96208544"/>
      </c:barChart>
      <c:catAx>
        <c:axId val="961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8544"/>
        <c:crosses val="autoZero"/>
        <c:auto val="1"/>
        <c:lblAlgn val="ctr"/>
        <c:lblOffset val="100"/>
        <c:noMultiLvlLbl val="0"/>
      </c:catAx>
      <c:valAx>
        <c:axId val="962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Retention Analysis.xlsx]Churn by Region 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Region Pivot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Region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Region Pivot'!$A$4:$A$8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by Region Pivot'!$B$4:$B$8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0-406C-87E2-34F22188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07584"/>
        <c:axId val="96211904"/>
      </c:barChart>
      <c:catAx>
        <c:axId val="9620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1904"/>
        <c:crosses val="autoZero"/>
        <c:auto val="1"/>
        <c:lblAlgn val="ctr"/>
        <c:lblOffset val="100"/>
        <c:noMultiLvlLbl val="0"/>
      </c:catAx>
      <c:valAx>
        <c:axId val="962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Retention Analysis.xlsx]Churn by Plan Type 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Plan Type Pivot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Plan Type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Plan Type Pivot'!$A$4:$A$6</c:f>
              <c:strCache>
                <c:ptCount val="2"/>
                <c:pt idx="0">
                  <c:v>Basic</c:v>
                </c:pt>
                <c:pt idx="1">
                  <c:v>Premium</c:v>
                </c:pt>
              </c:strCache>
            </c:strRef>
          </c:cat>
          <c:val>
            <c:numRef>
              <c:f>'Churn by Plan Type Pivot'!$B$4:$B$6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9-46D4-83A2-6D4D1E1F0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97504"/>
        <c:axId val="96208544"/>
      </c:barChart>
      <c:catAx>
        <c:axId val="961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8544"/>
        <c:crosses val="autoZero"/>
        <c:auto val="1"/>
        <c:lblAlgn val="ctr"/>
        <c:lblOffset val="100"/>
        <c:noMultiLvlLbl val="0"/>
      </c:catAx>
      <c:valAx>
        <c:axId val="962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vs Retention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KPI_Analysis!$B$1</c:f>
              <c:strCache>
                <c:ptCount val="1"/>
                <c:pt idx="0">
                  <c:v>Formula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0-4978-9AB9-2686EAEE5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0-4978-9AB9-2686EAEE5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0-4978-9AB9-2686EAEE5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0-4978-9AB9-2686EAEE5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0-4978-9AB9-2686EAEE546D}"/>
              </c:ext>
            </c:extLst>
          </c:dPt>
          <c:cat>
            <c:strRef>
              <c:f>KPI_Analysis!$A$2:$A$6</c:f>
              <c:strCache>
                <c:ptCount val="5"/>
                <c:pt idx="0">
                  <c:v>Total Customers</c:v>
                </c:pt>
                <c:pt idx="1">
                  <c:v>Churned Customers</c:v>
                </c:pt>
                <c:pt idx="2">
                  <c:v>Retained Customers</c:v>
                </c:pt>
                <c:pt idx="3">
                  <c:v>Churn Rate %</c:v>
                </c:pt>
                <c:pt idx="4">
                  <c:v>Retention Rate %</c:v>
                </c:pt>
              </c:strCache>
            </c:strRef>
          </c:cat>
          <c:val>
            <c:numRef>
              <c:f>KPI_Analysis!$B$2:$B$6</c:f>
              <c:numCache>
                <c:formatCode>General</c:formatCode>
                <c:ptCount val="5"/>
                <c:pt idx="0">
                  <c:v>15</c:v>
                </c:pt>
                <c:pt idx="1">
                  <c:v>7</c:v>
                </c:pt>
                <c:pt idx="2">
                  <c:v>8</c:v>
                </c:pt>
                <c:pt idx="3" formatCode="0.00%">
                  <c:v>46.666666666666664</c:v>
                </c:pt>
                <c:pt idx="4" formatCode="0.00%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A0-4978-9AB9-2686EAEE5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6</xdr:row>
      <xdr:rowOff>41910</xdr:rowOff>
    </xdr:from>
    <xdr:to>
      <xdr:col>13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70203-226F-71F3-3074-5A58056B4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262890</xdr:rowOff>
    </xdr:from>
    <xdr:to>
      <xdr:col>12</xdr:col>
      <xdr:colOff>38100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DA44E-3297-E40D-B929-259A64445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41910</xdr:rowOff>
    </xdr:from>
    <xdr:to>
      <xdr:col>11</xdr:col>
      <xdr:colOff>30480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F8D83-5BA6-56B1-29EB-BAE4DFC36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6</xdr:row>
      <xdr:rowOff>45720</xdr:rowOff>
    </xdr:from>
    <xdr:to>
      <xdr:col>8</xdr:col>
      <xdr:colOff>350520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E6E17-5E18-447A-91F7-04C79B6A6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6</xdr:row>
      <xdr:rowOff>22860</xdr:rowOff>
    </xdr:from>
    <xdr:to>
      <xdr:col>16</xdr:col>
      <xdr:colOff>167640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E388A-2585-4663-A6D1-48CE5612F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327660</xdr:colOff>
      <xdr:row>5</xdr:row>
      <xdr:rowOff>160020</xdr:rowOff>
    </xdr:from>
    <xdr:to>
      <xdr:col>24</xdr:col>
      <xdr:colOff>22860</xdr:colOff>
      <xdr:row>21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C4659C-46A5-41BB-8244-0F6E542E3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gayathri R" refreshedDate="46032.01152083333" createdVersion="8" refreshedVersion="8" minRefreshableVersion="3" recordCount="15" xr:uid="{9E36ADCB-BA89-4E2D-AD91-389A0D5F40B7}">
  <cacheSource type="worksheet">
    <worksheetSource ref="C2:M17" sheet="raw_data"/>
  </cacheSource>
  <cacheFields count="11">
    <cacheField name="Customer ID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lan Type" numFmtId="0">
      <sharedItems/>
    </cacheField>
    <cacheField name="Join Date" numFmtId="14">
      <sharedItems containsSemiMixedTypes="0" containsNonDate="0" containsDate="1" containsString="0" minDate="2023-01-01T00:00:00" maxDate="2023-08-02T00:00:00"/>
    </cacheField>
    <cacheField name="Last Purchase Date" numFmtId="14">
      <sharedItems containsSemiMixedTypes="0" containsNonDate="0" containsDate="1" containsString="0" minDate="2023-06-30T00:00:00" maxDate="2023-12-30T00:00:00"/>
    </cacheField>
    <cacheField name="Total Purchase" numFmtId="0">
      <sharedItems containsSemiMixedTypes="0" containsString="0" containsNumber="1" containsInteger="1" minValue="3" maxValue="14"/>
    </cacheField>
    <cacheField name="Total Spend" numFmtId="164">
      <sharedItems containsSemiMixedTypes="0" containsString="0" containsNumber="1" containsInteger="1" minValue="14000" maxValue="30000"/>
    </cacheField>
    <cacheField name="Status" numFmtId="0">
      <sharedItems/>
    </cacheField>
    <cacheField name="Days Since Last Purchase" numFmtId="0">
      <sharedItems containsSemiMixedTypes="0" containsString="0" containsNumber="1" containsInteger="1" minValue="2" maxValue="184"/>
    </cacheField>
    <cacheField name="Churn Flag" numFmtId="0">
      <sharedItems count="2">
        <s v="No"/>
        <s v="Yes"/>
      </sharedItems>
    </cacheField>
    <cacheField name="Customer Value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gayathri R" refreshedDate="46032.051715624999" createdVersion="8" refreshedVersion="8" minRefreshableVersion="3" recordCount="15" xr:uid="{13A328D6-03E3-4B2A-A4E8-1FCAD6224B20}">
  <cacheSource type="worksheet">
    <worksheetSource name="Table3"/>
  </cacheSource>
  <cacheFields count="11">
    <cacheField name="Customer ID" numFmtId="0">
      <sharedItems/>
    </cacheField>
    <cacheField name="Region" numFmtId="0">
      <sharedItems/>
    </cacheField>
    <cacheField name="Plan Type" numFmtId="0">
      <sharedItems count="2">
        <s v="Basic"/>
        <s v="Premium"/>
      </sharedItems>
    </cacheField>
    <cacheField name="Join Date" numFmtId="14">
      <sharedItems containsSemiMixedTypes="0" containsNonDate="0" containsDate="1" containsString="0" minDate="2023-01-01T00:00:00" maxDate="2023-08-02T00:00:00"/>
    </cacheField>
    <cacheField name="Last Purchase Date" numFmtId="14">
      <sharedItems containsSemiMixedTypes="0" containsNonDate="0" containsDate="1" containsString="0" minDate="2023-06-30T00:00:00" maxDate="2023-12-30T00:00:00"/>
    </cacheField>
    <cacheField name="Total Purchase" numFmtId="0">
      <sharedItems containsSemiMixedTypes="0" containsString="0" containsNumber="1" containsInteger="1" minValue="3" maxValue="14"/>
    </cacheField>
    <cacheField name="Total Spend" numFmtId="164">
      <sharedItems containsSemiMixedTypes="0" containsString="0" containsNumber="1" containsInteger="1" minValue="14000" maxValue="30000"/>
    </cacheField>
    <cacheField name="Status" numFmtId="0">
      <sharedItems/>
    </cacheField>
    <cacheField name="Days Since Last Purchase" numFmtId="0">
      <sharedItems containsSemiMixedTypes="0" containsString="0" containsNumber="1" containsInteger="1" minValue="2" maxValue="184"/>
    </cacheField>
    <cacheField name="Churn Flag" numFmtId="0">
      <sharedItems count="2">
        <s v="No"/>
        <s v="Yes"/>
      </sharedItems>
    </cacheField>
    <cacheField name="Customer Value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C001"/>
    <x v="0"/>
    <s v="Basic"/>
    <d v="2023-01-01T00:00:00"/>
    <d v="2023-12-15T00:00:00"/>
    <n v="8"/>
    <n v="16000"/>
    <s v="Active"/>
    <n v="16"/>
    <x v="0"/>
    <s v="Low Value"/>
  </r>
  <r>
    <s v="C002"/>
    <x v="1"/>
    <s v="Premium"/>
    <d v="2023-01-05T00:00:00"/>
    <d v="2023-08-10T00:00:00"/>
    <n v="5"/>
    <n v="25000"/>
    <s v="Churned"/>
    <n v="143"/>
    <x v="1"/>
    <s v="High Value"/>
  </r>
  <r>
    <s v="C003"/>
    <x v="2"/>
    <s v="Basic"/>
    <d v="2023-02-10T00:00:00"/>
    <d v="2023-12-20T00:00:00"/>
    <n v="12"/>
    <n v="18000"/>
    <s v="Active"/>
    <n v="11"/>
    <x v="0"/>
    <s v="Low Value"/>
  </r>
  <r>
    <s v="C004"/>
    <x v="3"/>
    <s v="Premium"/>
    <d v="2023-02-15T00:00:00"/>
    <d v="2023-07-05T00:00:00"/>
    <n v="4"/>
    <n v="20000"/>
    <s v="Churned"/>
    <n v="179"/>
    <x v="1"/>
    <s v="High Value"/>
  </r>
  <r>
    <s v="C005"/>
    <x v="0"/>
    <s v="Basic"/>
    <d v="2023-02-20T00:00:00"/>
    <d v="2023-12-25T00:00:00"/>
    <n v="10"/>
    <n v="17000"/>
    <s v="Active"/>
    <n v="6"/>
    <x v="0"/>
    <s v="Low Value"/>
  </r>
  <r>
    <s v="C006"/>
    <x v="1"/>
    <s v="Premium"/>
    <d v="2023-02-25T00:00:00"/>
    <d v="2023-06-30T00:00:00"/>
    <n v="3"/>
    <n v="18000"/>
    <s v="Churned"/>
    <n v="184"/>
    <x v="1"/>
    <s v="Low Value"/>
  </r>
  <r>
    <s v="C007"/>
    <x v="2"/>
    <s v="Basic"/>
    <d v="2023-04-01T00:00:00"/>
    <d v="2023-12-22T00:00:00"/>
    <n v="14"/>
    <n v="19000"/>
    <s v="Active"/>
    <n v="9"/>
    <x v="0"/>
    <s v="Low Value"/>
  </r>
  <r>
    <s v="C008"/>
    <x v="3"/>
    <s v="Basic"/>
    <d v="2023-04-10T00:00:00"/>
    <d v="2023-09-01T00:00:00"/>
    <n v="6"/>
    <n v="14000"/>
    <s v="Churned"/>
    <n v="121"/>
    <x v="1"/>
    <s v="Low Value"/>
  </r>
  <r>
    <s v="C009"/>
    <x v="0"/>
    <s v="Premium"/>
    <d v="2023-05-15T00:00:00"/>
    <d v="2023-12-28T00:00:00"/>
    <n v="11"/>
    <n v="30000"/>
    <s v="Active"/>
    <n v="3"/>
    <x v="0"/>
    <s v="High Value"/>
  </r>
  <r>
    <s v="C010"/>
    <x v="1"/>
    <s v="Basic"/>
    <d v="2023-05-20T00:00:00"/>
    <d v="2023-10-10T00:00:00"/>
    <n v="7"/>
    <n v="15000"/>
    <s v="Active"/>
    <n v="82"/>
    <x v="0"/>
    <s v="Low Value"/>
  </r>
  <r>
    <s v="C011"/>
    <x v="2"/>
    <s v="Premium"/>
    <d v="2023-06-01T00:00:00"/>
    <d v="2023-08-05T00:00:00"/>
    <n v="4"/>
    <n v="22000"/>
    <s v="Churned"/>
    <n v="148"/>
    <x v="1"/>
    <s v="High Value"/>
  </r>
  <r>
    <s v="C012"/>
    <x v="3"/>
    <s v="Basic"/>
    <d v="2023-06-10T00:00:00"/>
    <d v="2023-12-26T00:00:00"/>
    <n v="9"/>
    <n v="16000"/>
    <s v="Active"/>
    <n v="5"/>
    <x v="0"/>
    <s v="Low Value"/>
  </r>
  <r>
    <s v="C013"/>
    <x v="0"/>
    <s v="Premium"/>
    <d v="2023-07-15T00:00:00"/>
    <d v="2023-09-15T00:00:00"/>
    <n v="5"/>
    <n v="27000"/>
    <s v="Churned"/>
    <n v="107"/>
    <x v="1"/>
    <s v="High Value"/>
  </r>
  <r>
    <s v="C014"/>
    <x v="1"/>
    <s v="Basic"/>
    <d v="2023-07-20T00:00:00"/>
    <d v="2023-12-29T00:00:00"/>
    <n v="13"/>
    <n v="18000"/>
    <s v="Active"/>
    <n v="2"/>
    <x v="0"/>
    <s v="Low Value"/>
  </r>
  <r>
    <s v="C015"/>
    <x v="2"/>
    <s v="Premium"/>
    <d v="2023-08-01T00:00:00"/>
    <d v="2023-07-01T00:00:00"/>
    <n v="3"/>
    <n v="21000"/>
    <s v="Churned"/>
    <n v="183"/>
    <x v="1"/>
    <s v="High Valu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C001"/>
    <s v="North"/>
    <x v="0"/>
    <d v="2023-01-01T00:00:00"/>
    <d v="2023-12-15T00:00:00"/>
    <n v="8"/>
    <n v="16000"/>
    <s v="Active"/>
    <n v="16"/>
    <x v="0"/>
    <s v="Low Value"/>
  </r>
  <r>
    <s v="C002"/>
    <s v="South"/>
    <x v="1"/>
    <d v="2023-01-05T00:00:00"/>
    <d v="2023-08-10T00:00:00"/>
    <n v="5"/>
    <n v="25000"/>
    <s v="Churned"/>
    <n v="143"/>
    <x v="1"/>
    <s v="High Value"/>
  </r>
  <r>
    <s v="C003"/>
    <s v="East"/>
    <x v="0"/>
    <d v="2023-02-10T00:00:00"/>
    <d v="2023-12-20T00:00:00"/>
    <n v="12"/>
    <n v="18000"/>
    <s v="Active"/>
    <n v="11"/>
    <x v="0"/>
    <s v="Low Value"/>
  </r>
  <r>
    <s v="C004"/>
    <s v="West"/>
    <x v="1"/>
    <d v="2023-02-15T00:00:00"/>
    <d v="2023-07-05T00:00:00"/>
    <n v="4"/>
    <n v="20000"/>
    <s v="Churned"/>
    <n v="179"/>
    <x v="1"/>
    <s v="High Value"/>
  </r>
  <r>
    <s v="C005"/>
    <s v="North"/>
    <x v="0"/>
    <d v="2023-02-20T00:00:00"/>
    <d v="2023-12-25T00:00:00"/>
    <n v="10"/>
    <n v="17000"/>
    <s v="Active"/>
    <n v="6"/>
    <x v="0"/>
    <s v="Low Value"/>
  </r>
  <r>
    <s v="C006"/>
    <s v="South"/>
    <x v="1"/>
    <d v="2023-02-25T00:00:00"/>
    <d v="2023-06-30T00:00:00"/>
    <n v="3"/>
    <n v="18000"/>
    <s v="Churned"/>
    <n v="184"/>
    <x v="1"/>
    <s v="Low Value"/>
  </r>
  <r>
    <s v="C007"/>
    <s v="East"/>
    <x v="0"/>
    <d v="2023-04-01T00:00:00"/>
    <d v="2023-12-22T00:00:00"/>
    <n v="14"/>
    <n v="19000"/>
    <s v="Active"/>
    <n v="9"/>
    <x v="0"/>
    <s v="Low Value"/>
  </r>
  <r>
    <s v="C008"/>
    <s v="West"/>
    <x v="0"/>
    <d v="2023-04-10T00:00:00"/>
    <d v="2023-09-01T00:00:00"/>
    <n v="6"/>
    <n v="14000"/>
    <s v="Churned"/>
    <n v="121"/>
    <x v="1"/>
    <s v="Low Value"/>
  </r>
  <r>
    <s v="C009"/>
    <s v="North"/>
    <x v="1"/>
    <d v="2023-05-15T00:00:00"/>
    <d v="2023-12-28T00:00:00"/>
    <n v="11"/>
    <n v="30000"/>
    <s v="Active"/>
    <n v="3"/>
    <x v="0"/>
    <s v="High Value"/>
  </r>
  <r>
    <s v="C010"/>
    <s v="South"/>
    <x v="0"/>
    <d v="2023-05-20T00:00:00"/>
    <d v="2023-10-10T00:00:00"/>
    <n v="7"/>
    <n v="15000"/>
    <s v="Active"/>
    <n v="82"/>
    <x v="0"/>
    <s v="Low Value"/>
  </r>
  <r>
    <s v="C011"/>
    <s v="East"/>
    <x v="1"/>
    <d v="2023-06-01T00:00:00"/>
    <d v="2023-08-05T00:00:00"/>
    <n v="4"/>
    <n v="22000"/>
    <s v="Churned"/>
    <n v="148"/>
    <x v="1"/>
    <s v="High Value"/>
  </r>
  <r>
    <s v="C012"/>
    <s v="West"/>
    <x v="0"/>
    <d v="2023-06-10T00:00:00"/>
    <d v="2023-12-26T00:00:00"/>
    <n v="9"/>
    <n v="16000"/>
    <s v="Active"/>
    <n v="5"/>
    <x v="0"/>
    <s v="Low Value"/>
  </r>
  <r>
    <s v="C013"/>
    <s v="North"/>
    <x v="1"/>
    <d v="2023-07-15T00:00:00"/>
    <d v="2023-09-15T00:00:00"/>
    <n v="5"/>
    <n v="27000"/>
    <s v="Churned"/>
    <n v="107"/>
    <x v="1"/>
    <s v="High Value"/>
  </r>
  <r>
    <s v="C014"/>
    <s v="South"/>
    <x v="0"/>
    <d v="2023-07-20T00:00:00"/>
    <d v="2023-12-29T00:00:00"/>
    <n v="13"/>
    <n v="18000"/>
    <s v="Active"/>
    <n v="2"/>
    <x v="0"/>
    <s v="Low Value"/>
  </r>
  <r>
    <s v="C015"/>
    <s v="East"/>
    <x v="1"/>
    <d v="2023-08-01T00:00:00"/>
    <d v="2023-07-01T00:00:00"/>
    <n v="3"/>
    <n v="21000"/>
    <s v="Churned"/>
    <n v="183"/>
    <x v="1"/>
    <s v="High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E0D26-40A6-45E1-B6EC-51C84B2560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 rowPageCount="1" colPageCount="1"/>
  <pivotFields count="11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4" showAll="0"/>
    <pivotField numFmtId="14" showAll="0"/>
    <pivotField showAll="0"/>
    <pivotField numFmtId="164"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hier="-1"/>
  </pageFields>
  <dataFields count="1">
    <dataField name="Count of Customer 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850B8-93B1-40AE-8E96-2FFC4A713C3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 rowPageCount="1" colPageCount="1"/>
  <pivotFields count="11">
    <pivotField dataField="1" showAll="0"/>
    <pivotField showAll="0"/>
    <pivotField axis="axisRow" showAll="0">
      <items count="3">
        <item x="0"/>
        <item x="1"/>
        <item t="default"/>
      </items>
    </pivotField>
    <pivotField numFmtId="14" showAll="0"/>
    <pivotField numFmtId="14" showAll="0"/>
    <pivotField showAll="0"/>
    <pivotField numFmtId="164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9" item="1" hier="-1"/>
  </pageFields>
  <dataFields count="1">
    <dataField name="Count of Customer 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3F0D75-3430-4A55-BEBB-E73739EED321}" name="Table3" displayName="Table3" ref="C2:M17" totalsRowShown="0" headerRowDxfId="13" dataDxfId="12" tableBorderDxfId="11">
  <autoFilter ref="C2:M17" xr:uid="{B13F0D75-3430-4A55-BEBB-E73739EED321}"/>
  <tableColumns count="11">
    <tableColumn id="1" xr3:uid="{33DAFED5-05D1-4D37-8B2E-DFA9FF209C77}" name="Customer ID" dataDxfId="10"/>
    <tableColumn id="2" xr3:uid="{DD049910-AB1C-423A-B462-27CF2221F99B}" name="Region" dataDxfId="9"/>
    <tableColumn id="3" xr3:uid="{7F08F115-C8EC-4670-AFA1-57AC2D4BA785}" name="Plan Type" dataDxfId="8"/>
    <tableColumn id="4" xr3:uid="{03B7652B-58D5-445A-9988-878B0C48EC8E}" name="Join Date" dataDxfId="7"/>
    <tableColumn id="5" xr3:uid="{F35D3926-0768-4430-A82E-01D16DD05B61}" name="Last Purchase Date" dataDxfId="6"/>
    <tableColumn id="6" xr3:uid="{39EB44CA-7DD9-4B02-A18D-E95AD6A412FD}" name="Total Purchase" dataDxfId="5"/>
    <tableColumn id="7" xr3:uid="{93D3374B-D0A2-48FD-990F-9F004316077D}" name="Total Spend" dataDxfId="4"/>
    <tableColumn id="8" xr3:uid="{B8B043E0-89AF-4838-9AB1-F23F7D77C2D2}" name="Status" dataDxfId="3"/>
    <tableColumn id="9" xr3:uid="{469E5E04-8A21-49D9-8652-5D85D9EE7DCB}" name="Days Since Last Purchase" dataDxfId="2"/>
    <tableColumn id="10" xr3:uid="{B7AC10F2-7330-4DA4-8786-D6555B9F689E}" name="Churn Flag" dataDxfId="1">
      <calculatedColumnFormula>IF(K3&gt; 90, "Yes", "No")</calculatedColumnFormula>
    </tableColumn>
    <tableColumn id="11" xr3:uid="{73AACDC4-3017-446B-B3C1-4CBD8F3778EA}" name="Customer Value Category" dataDxfId="0">
      <calculatedColumnFormula>IF(I3 &gt;= 20000, "High Value", "Low Value")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10AB-3451-4F51-BB1A-2DDFC92ABCA3}">
  <dimension ref="A1:B8"/>
  <sheetViews>
    <sheetView workbookViewId="0">
      <selection activeCell="E19" sqref="E19"/>
    </sheetView>
  </sheetViews>
  <sheetFormatPr defaultRowHeight="14.4"/>
  <cols>
    <col min="1" max="1" width="12.5546875" bestFit="1" customWidth="1"/>
    <col min="2" max="2" width="19.33203125" bestFit="1" customWidth="1"/>
  </cols>
  <sheetData>
    <row r="1" spans="1:2">
      <c r="A1" s="3" t="s">
        <v>32</v>
      </c>
      <c r="B1" t="s">
        <v>38</v>
      </c>
    </row>
    <row r="3" spans="1:2">
      <c r="A3" s="3" t="s">
        <v>35</v>
      </c>
      <c r="B3" t="s">
        <v>37</v>
      </c>
    </row>
    <row r="4" spans="1:2">
      <c r="A4" s="4" t="s">
        <v>19</v>
      </c>
      <c r="B4" s="21">
        <v>2</v>
      </c>
    </row>
    <row r="5" spans="1:2">
      <c r="A5" s="4" t="s">
        <v>17</v>
      </c>
      <c r="B5" s="21">
        <v>1</v>
      </c>
    </row>
    <row r="6" spans="1:2">
      <c r="A6" s="4" t="s">
        <v>18</v>
      </c>
      <c r="B6" s="21">
        <v>2</v>
      </c>
    </row>
    <row r="7" spans="1:2">
      <c r="A7" s="4" t="s">
        <v>20</v>
      </c>
      <c r="B7" s="21">
        <v>2</v>
      </c>
    </row>
    <row r="8" spans="1:2">
      <c r="A8" s="4" t="s">
        <v>36</v>
      </c>
      <c r="B8" s="21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9591-2DD6-4A11-940E-A533C1A9B073}">
  <dimension ref="A1:B6"/>
  <sheetViews>
    <sheetView workbookViewId="0">
      <selection activeCell="N6" sqref="N6"/>
    </sheetView>
  </sheetViews>
  <sheetFormatPr defaultRowHeight="14.4"/>
  <cols>
    <col min="1" max="1" width="15.77734375" customWidth="1"/>
    <col min="2" max="2" width="31.44140625" customWidth="1"/>
  </cols>
  <sheetData>
    <row r="1" spans="1:2">
      <c r="A1" s="5" t="s">
        <v>39</v>
      </c>
      <c r="B1" s="5" t="s">
        <v>40</v>
      </c>
    </row>
    <row r="2" spans="1:2">
      <c r="A2" s="6" t="s">
        <v>41</v>
      </c>
      <c r="B2" s="7">
        <f>COUNTA(raw_data!C3:C17)</f>
        <v>15</v>
      </c>
    </row>
    <row r="3" spans="1:2" ht="28.8">
      <c r="A3" s="6" t="s">
        <v>42</v>
      </c>
      <c r="B3" s="7">
        <f>COUNTIF(raw_data!L3:L17, "Yes")</f>
        <v>7</v>
      </c>
    </row>
    <row r="4" spans="1:2" ht="28.8">
      <c r="A4" s="6" t="s">
        <v>43</v>
      </c>
      <c r="B4" s="7">
        <f>COUNTIF(raw_data!L3:L17, "No")</f>
        <v>8</v>
      </c>
    </row>
    <row r="5" spans="1:2">
      <c r="A5" s="6" t="s">
        <v>44</v>
      </c>
      <c r="B5" s="14">
        <f>B3/B2*100</f>
        <v>46.666666666666664</v>
      </c>
    </row>
    <row r="6" spans="1:2">
      <c r="A6" s="6" t="s">
        <v>45</v>
      </c>
      <c r="B6" s="14">
        <f>100-B5</f>
        <v>53.333333333333336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3EF0-A827-411D-81A2-54C9218CD1FB}">
  <dimension ref="A1:B6"/>
  <sheetViews>
    <sheetView workbookViewId="0">
      <selection activeCell="G5" sqref="G5"/>
    </sheetView>
  </sheetViews>
  <sheetFormatPr defaultRowHeight="14.4"/>
  <cols>
    <col min="1" max="1" width="12.5546875" bestFit="1" customWidth="1"/>
    <col min="2" max="2" width="19.33203125" bestFit="1" customWidth="1"/>
  </cols>
  <sheetData>
    <row r="1" spans="1:2">
      <c r="A1" s="3" t="s">
        <v>32</v>
      </c>
      <c r="B1" t="s">
        <v>38</v>
      </c>
    </row>
    <row r="3" spans="1:2">
      <c r="A3" s="3" t="s">
        <v>35</v>
      </c>
      <c r="B3" t="s">
        <v>37</v>
      </c>
    </row>
    <row r="4" spans="1:2">
      <c r="A4" s="4" t="s">
        <v>22</v>
      </c>
      <c r="B4" s="21">
        <v>1</v>
      </c>
    </row>
    <row r="5" spans="1:2">
      <c r="A5" s="4" t="s">
        <v>23</v>
      </c>
      <c r="B5" s="21">
        <v>6</v>
      </c>
    </row>
    <row r="6" spans="1:2">
      <c r="A6" s="4" t="s">
        <v>36</v>
      </c>
      <c r="B6" s="21">
        <v>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F7F2-3621-4AB3-BD68-6F5F273432DD}">
  <dimension ref="A1:S5"/>
  <sheetViews>
    <sheetView showGridLines="0" tabSelected="1" workbookViewId="0">
      <selection activeCell="A7" sqref="A7"/>
    </sheetView>
  </sheetViews>
  <sheetFormatPr defaultRowHeight="14.4"/>
  <sheetData>
    <row r="1" spans="1:19" ht="14.4" customHeight="1">
      <c r="A1" s="20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</sheetData>
  <mergeCells count="1">
    <mergeCell ref="A1:S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A8DA-5760-4445-9F2D-86D53B438FE1}">
  <dimension ref="A2:P18"/>
  <sheetViews>
    <sheetView topLeftCell="B1" workbookViewId="0">
      <selection activeCell="M2" sqref="M2"/>
    </sheetView>
  </sheetViews>
  <sheetFormatPr defaultRowHeight="14.4"/>
  <cols>
    <col min="1" max="1" width="10.5546875" customWidth="1"/>
    <col min="3" max="3" width="13.21875" customWidth="1"/>
    <col min="5" max="5" width="11.109375" customWidth="1"/>
    <col min="6" max="6" width="10.5546875" customWidth="1"/>
    <col min="7" max="7" width="18.6640625" customWidth="1"/>
    <col min="8" max="8" width="15.21875" customWidth="1"/>
    <col min="9" max="9" width="12.88671875" customWidth="1"/>
    <col min="11" max="11" width="23.6640625" customWidth="1"/>
    <col min="12" max="12" width="11.77734375" customWidth="1"/>
    <col min="13" max="13" width="24.21875" customWidth="1"/>
    <col min="16" max="16" width="10.5546875" customWidth="1"/>
  </cols>
  <sheetData>
    <row r="2" spans="3:16">
      <c r="C2" s="15" t="s">
        <v>0</v>
      </c>
      <c r="D2" s="15" t="s">
        <v>16</v>
      </c>
      <c r="E2" s="15" t="s">
        <v>21</v>
      </c>
      <c r="F2" s="16" t="s">
        <v>24</v>
      </c>
      <c r="G2" s="16" t="s">
        <v>25</v>
      </c>
      <c r="H2" s="15" t="s">
        <v>26</v>
      </c>
      <c r="I2" s="17" t="s">
        <v>27</v>
      </c>
      <c r="J2" s="15" t="s">
        <v>28</v>
      </c>
      <c r="K2" s="19" t="s">
        <v>31</v>
      </c>
      <c r="L2" s="19" t="s">
        <v>32</v>
      </c>
      <c r="M2" s="19" t="s">
        <v>34</v>
      </c>
    </row>
    <row r="3" spans="3:16">
      <c r="C3" s="8" t="s">
        <v>1</v>
      </c>
      <c r="D3" s="8" t="s">
        <v>17</v>
      </c>
      <c r="E3" s="8" t="s">
        <v>22</v>
      </c>
      <c r="F3" s="9">
        <v>44927</v>
      </c>
      <c r="G3" s="9">
        <v>45275</v>
      </c>
      <c r="H3" s="8">
        <v>8</v>
      </c>
      <c r="I3" s="10">
        <v>16000</v>
      </c>
      <c r="J3" s="8" t="s">
        <v>29</v>
      </c>
      <c r="K3" s="8">
        <f>P11-G3</f>
        <v>16</v>
      </c>
      <c r="L3" s="8" t="str">
        <f>IF(K3&gt; 90, "Yes", "No")</f>
        <v>No</v>
      </c>
      <c r="M3" s="8" t="str">
        <f>IF(I3 &gt;= 20000, "High Value", "Low Value")</f>
        <v>Low Value</v>
      </c>
    </row>
    <row r="4" spans="3:16">
      <c r="C4" s="11" t="s">
        <v>2</v>
      </c>
      <c r="D4" s="11" t="s">
        <v>18</v>
      </c>
      <c r="E4" s="11" t="s">
        <v>23</v>
      </c>
      <c r="F4" s="12">
        <v>44931</v>
      </c>
      <c r="G4" s="12">
        <v>45148</v>
      </c>
      <c r="H4" s="11">
        <v>5</v>
      </c>
      <c r="I4" s="13">
        <v>25000</v>
      </c>
      <c r="J4" s="11" t="s">
        <v>30</v>
      </c>
      <c r="K4" s="11">
        <f>P11-G4</f>
        <v>143</v>
      </c>
      <c r="L4" s="11" t="str">
        <f>IF(K4&gt; 90, "Yes", "No")</f>
        <v>Yes</v>
      </c>
      <c r="M4" s="11" t="str">
        <f>IF(I4 &gt;= 20000, "High Value", "Low Value")</f>
        <v>High Value</v>
      </c>
    </row>
    <row r="5" spans="3:16">
      <c r="C5" s="8" t="s">
        <v>3</v>
      </c>
      <c r="D5" s="8" t="s">
        <v>19</v>
      </c>
      <c r="E5" s="8" t="s">
        <v>22</v>
      </c>
      <c r="F5" s="9">
        <v>44967</v>
      </c>
      <c r="G5" s="9">
        <v>45280</v>
      </c>
      <c r="H5" s="8">
        <v>12</v>
      </c>
      <c r="I5" s="10">
        <v>18000</v>
      </c>
      <c r="J5" s="8" t="s">
        <v>29</v>
      </c>
      <c r="K5" s="8">
        <f>P11-G5</f>
        <v>11</v>
      </c>
      <c r="L5" s="8" t="str">
        <f>IF(K5&gt; 90, "Yes", "No")</f>
        <v>No</v>
      </c>
      <c r="M5" s="8" t="str">
        <f t="shared" ref="M5:M17" si="0">IF(I5 &gt;= 20000, "High Value", "Low Value")</f>
        <v>Low Value</v>
      </c>
    </row>
    <row r="6" spans="3:16">
      <c r="C6" s="11" t="s">
        <v>4</v>
      </c>
      <c r="D6" s="11" t="s">
        <v>20</v>
      </c>
      <c r="E6" s="11" t="s">
        <v>23</v>
      </c>
      <c r="F6" s="12">
        <v>44972</v>
      </c>
      <c r="G6" s="12">
        <v>45112</v>
      </c>
      <c r="H6" s="11">
        <v>4</v>
      </c>
      <c r="I6" s="13">
        <v>20000</v>
      </c>
      <c r="J6" s="11" t="s">
        <v>30</v>
      </c>
      <c r="K6" s="11">
        <f>P11-G6</f>
        <v>179</v>
      </c>
      <c r="L6" s="11" t="str">
        <f t="shared" ref="L6:L17" si="1">IF(K6&gt; 90, "Yes", "No")</f>
        <v>Yes</v>
      </c>
      <c r="M6" s="11" t="str">
        <f t="shared" si="0"/>
        <v>High Value</v>
      </c>
    </row>
    <row r="7" spans="3:16">
      <c r="C7" s="8" t="s">
        <v>5</v>
      </c>
      <c r="D7" s="8" t="s">
        <v>17</v>
      </c>
      <c r="E7" s="8" t="s">
        <v>22</v>
      </c>
      <c r="F7" s="9">
        <v>44977</v>
      </c>
      <c r="G7" s="9">
        <v>45285</v>
      </c>
      <c r="H7" s="8">
        <v>10</v>
      </c>
      <c r="I7" s="10">
        <v>17000</v>
      </c>
      <c r="J7" s="8" t="s">
        <v>29</v>
      </c>
      <c r="K7" s="8">
        <f>P11-G7</f>
        <v>6</v>
      </c>
      <c r="L7" s="8" t="str">
        <f t="shared" si="1"/>
        <v>No</v>
      </c>
      <c r="M7" s="8" t="str">
        <f t="shared" si="0"/>
        <v>Low Value</v>
      </c>
    </row>
    <row r="8" spans="3:16">
      <c r="C8" s="11" t="s">
        <v>6</v>
      </c>
      <c r="D8" s="11" t="s">
        <v>18</v>
      </c>
      <c r="E8" s="11" t="s">
        <v>23</v>
      </c>
      <c r="F8" s="12">
        <v>44982</v>
      </c>
      <c r="G8" s="12">
        <v>45107</v>
      </c>
      <c r="H8" s="11">
        <v>3</v>
      </c>
      <c r="I8" s="13">
        <v>18000</v>
      </c>
      <c r="J8" s="11" t="s">
        <v>30</v>
      </c>
      <c r="K8" s="11">
        <f>P11-G8</f>
        <v>184</v>
      </c>
      <c r="L8" s="11" t="str">
        <f t="shared" si="1"/>
        <v>Yes</v>
      </c>
      <c r="M8" s="11" t="str">
        <f t="shared" si="0"/>
        <v>Low Value</v>
      </c>
    </row>
    <row r="9" spans="3:16">
      <c r="C9" s="8" t="s">
        <v>7</v>
      </c>
      <c r="D9" s="8" t="s">
        <v>19</v>
      </c>
      <c r="E9" s="8" t="s">
        <v>22</v>
      </c>
      <c r="F9" s="9">
        <v>45017</v>
      </c>
      <c r="G9" s="9">
        <v>45282</v>
      </c>
      <c r="H9" s="8">
        <v>14</v>
      </c>
      <c r="I9" s="10">
        <v>19000</v>
      </c>
      <c r="J9" s="8" t="s">
        <v>29</v>
      </c>
      <c r="K9" s="8">
        <f>P11-G9</f>
        <v>9</v>
      </c>
      <c r="L9" s="8" t="str">
        <f t="shared" si="1"/>
        <v>No</v>
      </c>
      <c r="M9" s="8" t="str">
        <f t="shared" si="0"/>
        <v>Low Value</v>
      </c>
    </row>
    <row r="10" spans="3:16">
      <c r="C10" s="11" t="s">
        <v>8</v>
      </c>
      <c r="D10" s="11" t="s">
        <v>20</v>
      </c>
      <c r="E10" s="11" t="s">
        <v>22</v>
      </c>
      <c r="F10" s="12">
        <v>45026</v>
      </c>
      <c r="G10" s="12">
        <v>45170</v>
      </c>
      <c r="H10" s="11">
        <v>6</v>
      </c>
      <c r="I10" s="13">
        <v>14000</v>
      </c>
      <c r="J10" s="11" t="s">
        <v>30</v>
      </c>
      <c r="K10" s="11">
        <f>P11-G10</f>
        <v>121</v>
      </c>
      <c r="L10" s="11" t="str">
        <f t="shared" si="1"/>
        <v>Yes</v>
      </c>
      <c r="M10" s="11" t="str">
        <f t="shared" si="0"/>
        <v>Low Value</v>
      </c>
      <c r="P10" t="s">
        <v>33</v>
      </c>
    </row>
    <row r="11" spans="3:16">
      <c r="C11" s="8" t="s">
        <v>9</v>
      </c>
      <c r="D11" s="8" t="s">
        <v>17</v>
      </c>
      <c r="E11" s="8" t="s">
        <v>23</v>
      </c>
      <c r="F11" s="9">
        <v>45061</v>
      </c>
      <c r="G11" s="9">
        <v>45288</v>
      </c>
      <c r="H11" s="8">
        <v>11</v>
      </c>
      <c r="I11" s="10">
        <v>30000</v>
      </c>
      <c r="J11" s="8" t="s">
        <v>29</v>
      </c>
      <c r="K11" s="8">
        <f>P11-G11</f>
        <v>3</v>
      </c>
      <c r="L11" s="8" t="str">
        <f t="shared" si="1"/>
        <v>No</v>
      </c>
      <c r="M11" s="8" t="str">
        <f t="shared" si="0"/>
        <v>High Value</v>
      </c>
      <c r="P11" s="1">
        <v>45291</v>
      </c>
    </row>
    <row r="12" spans="3:16">
      <c r="C12" s="11" t="s">
        <v>10</v>
      </c>
      <c r="D12" s="11" t="s">
        <v>18</v>
      </c>
      <c r="E12" s="11" t="s">
        <v>22</v>
      </c>
      <c r="F12" s="12">
        <v>45066</v>
      </c>
      <c r="G12" s="12">
        <v>45209</v>
      </c>
      <c r="H12" s="11">
        <v>7</v>
      </c>
      <c r="I12" s="13">
        <v>15000</v>
      </c>
      <c r="J12" s="11" t="s">
        <v>29</v>
      </c>
      <c r="K12" s="11">
        <f>P11-G12</f>
        <v>82</v>
      </c>
      <c r="L12" s="11" t="str">
        <f t="shared" si="1"/>
        <v>No</v>
      </c>
      <c r="M12" s="11" t="str">
        <f t="shared" si="0"/>
        <v>Low Value</v>
      </c>
    </row>
    <row r="13" spans="3:16">
      <c r="C13" s="8" t="s">
        <v>11</v>
      </c>
      <c r="D13" s="8" t="s">
        <v>19</v>
      </c>
      <c r="E13" s="8" t="s">
        <v>23</v>
      </c>
      <c r="F13" s="9">
        <v>45078</v>
      </c>
      <c r="G13" s="9">
        <v>45143</v>
      </c>
      <c r="H13" s="8">
        <v>4</v>
      </c>
      <c r="I13" s="10">
        <v>22000</v>
      </c>
      <c r="J13" s="8" t="s">
        <v>30</v>
      </c>
      <c r="K13" s="8">
        <f>P11-G13</f>
        <v>148</v>
      </c>
      <c r="L13" s="8" t="str">
        <f t="shared" si="1"/>
        <v>Yes</v>
      </c>
      <c r="M13" s="8" t="str">
        <f t="shared" si="0"/>
        <v>High Value</v>
      </c>
    </row>
    <row r="14" spans="3:16">
      <c r="C14" s="11" t="s">
        <v>12</v>
      </c>
      <c r="D14" s="11" t="s">
        <v>20</v>
      </c>
      <c r="E14" s="11" t="s">
        <v>22</v>
      </c>
      <c r="F14" s="12">
        <v>45087</v>
      </c>
      <c r="G14" s="12">
        <v>45286</v>
      </c>
      <c r="H14" s="11">
        <v>9</v>
      </c>
      <c r="I14" s="13">
        <v>16000</v>
      </c>
      <c r="J14" s="11" t="s">
        <v>29</v>
      </c>
      <c r="K14" s="11">
        <f>P11-G14</f>
        <v>5</v>
      </c>
      <c r="L14" s="11" t="str">
        <f t="shared" si="1"/>
        <v>No</v>
      </c>
      <c r="M14" s="11" t="str">
        <f t="shared" si="0"/>
        <v>Low Value</v>
      </c>
    </row>
    <row r="15" spans="3:16">
      <c r="C15" s="8" t="s">
        <v>13</v>
      </c>
      <c r="D15" s="8" t="s">
        <v>17</v>
      </c>
      <c r="E15" s="8" t="s">
        <v>23</v>
      </c>
      <c r="F15" s="9">
        <v>45122</v>
      </c>
      <c r="G15" s="9">
        <v>45184</v>
      </c>
      <c r="H15" s="8">
        <v>5</v>
      </c>
      <c r="I15" s="10">
        <v>27000</v>
      </c>
      <c r="J15" s="8" t="s">
        <v>30</v>
      </c>
      <c r="K15" s="8">
        <f>P11-G15</f>
        <v>107</v>
      </c>
      <c r="L15" s="8" t="str">
        <f t="shared" si="1"/>
        <v>Yes</v>
      </c>
      <c r="M15" s="8" t="str">
        <f t="shared" si="0"/>
        <v>High Value</v>
      </c>
    </row>
    <row r="16" spans="3:16">
      <c r="C16" s="11" t="s">
        <v>14</v>
      </c>
      <c r="D16" s="11" t="s">
        <v>18</v>
      </c>
      <c r="E16" s="11" t="s">
        <v>22</v>
      </c>
      <c r="F16" s="12">
        <v>45127</v>
      </c>
      <c r="G16" s="12">
        <v>45289</v>
      </c>
      <c r="H16" s="11">
        <v>13</v>
      </c>
      <c r="I16" s="13">
        <v>18000</v>
      </c>
      <c r="J16" s="11" t="s">
        <v>29</v>
      </c>
      <c r="K16" s="11">
        <f>P11-G16</f>
        <v>2</v>
      </c>
      <c r="L16" s="11" t="str">
        <f t="shared" si="1"/>
        <v>No</v>
      </c>
      <c r="M16" s="11" t="str">
        <f t="shared" si="0"/>
        <v>Low Value</v>
      </c>
    </row>
    <row r="17" spans="1:13">
      <c r="C17" s="8" t="s">
        <v>15</v>
      </c>
      <c r="D17" s="8" t="s">
        <v>19</v>
      </c>
      <c r="E17" s="8" t="s">
        <v>23</v>
      </c>
      <c r="F17" s="9">
        <v>45139</v>
      </c>
      <c r="G17" s="9">
        <v>45108</v>
      </c>
      <c r="H17" s="8">
        <v>3</v>
      </c>
      <c r="I17" s="10">
        <v>21000</v>
      </c>
      <c r="J17" s="8" t="s">
        <v>30</v>
      </c>
      <c r="K17" s="8">
        <f>P11-G17</f>
        <v>183</v>
      </c>
      <c r="L17" s="8" t="str">
        <f t="shared" si="1"/>
        <v>Yes</v>
      </c>
      <c r="M17" s="8" t="str">
        <f t="shared" si="0"/>
        <v>High Value</v>
      </c>
    </row>
    <row r="18" spans="1:13">
      <c r="A18" s="1"/>
      <c r="I18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by Region Pivot</vt:lpstr>
      <vt:lpstr>KPI_Analysis</vt:lpstr>
      <vt:lpstr>Churn by Plan Type Pivot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gangagayathri R</dc:creator>
  <cp:lastModifiedBy>gangagayathri R</cp:lastModifiedBy>
  <dcterms:created xsi:type="dcterms:W3CDTF">2026-01-09T17:19:18Z</dcterms:created>
  <dcterms:modified xsi:type="dcterms:W3CDTF">2026-01-10T08:53:11Z</dcterms:modified>
</cp:coreProperties>
</file>